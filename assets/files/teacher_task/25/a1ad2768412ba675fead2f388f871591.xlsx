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12A4DAD1-AF2D-4188-84DF-66BC023F76C2}" xr6:coauthVersionLast="47" xr6:coauthVersionMax="47" xr10:uidLastSave="{00000000-0000-0000-0000-000000000000}"/>
  <bookViews>
    <workbookView xWindow="-120" yWindow="-120" windowWidth="29040" windowHeight="15720" activeTab="1" xr2:uid="{F80257CA-AA9E-4C1B-8D3B-5BF3F25DD925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O2" i="2"/>
  <c r="N2" i="2"/>
</calcChain>
</file>

<file path=xl/sharedStrings.xml><?xml version="1.0" encoding="utf-8"?>
<sst xmlns="http://schemas.openxmlformats.org/spreadsheetml/2006/main" count="617" uniqueCount="395">
  <si>
    <t>title</t>
  </si>
  <si>
    <t>image</t>
  </si>
  <si>
    <t>isbn</t>
  </si>
  <si>
    <t>IRENE M.J.A.-KHRISTIYONO P.S.-NANI ROSDIJATI</t>
  </si>
  <si>
    <t>MASRIAN-AMINARNI-SUGITO</t>
  </si>
  <si>
    <t>TIM MITRA GURU</t>
  </si>
  <si>
    <t>DWI TYAS UTAMI</t>
  </si>
  <si>
    <t>RISKI ANGGORO R.-E. TRIWIBOWO</t>
  </si>
  <si>
    <t>HINDRASWARI ENGGAR DWIPENI</t>
  </si>
  <si>
    <t>level</t>
  </si>
  <si>
    <t>link</t>
  </si>
  <si>
    <t>0024100280</t>
  </si>
  <si>
    <t>E-BOOK ESPS B. INDONESIA SD/MI KLS.4/KM/1TH</t>
  </si>
  <si>
    <t>A. INDRADI-RAHMAH P.</t>
  </si>
  <si>
    <t>0022970300</t>
  </si>
  <si>
    <t>E-BOOK PEND AGAMA ISLAM &amp; BUDI PEKERTI SD KLS.4/KM/1TH</t>
  </si>
  <si>
    <t>MOH. MASRUN, DKK</t>
  </si>
  <si>
    <t>0023230330</t>
  </si>
  <si>
    <t>E-BOOK ESPS PENDIDIKAN PANCASILA SD/MI KLS.4/KM/1TH</t>
  </si>
  <si>
    <t>0024200410</t>
  </si>
  <si>
    <t>E-BOOK GROW WITH ENGLISH 4/KM/1TH</t>
  </si>
  <si>
    <t>MUKARTO, DKK</t>
  </si>
  <si>
    <t>0025000910</t>
  </si>
  <si>
    <t>E-BOOK ESPS IPAS SD/MI KLS.4/KM/VOL.1/1TH</t>
  </si>
  <si>
    <t>0025000920</t>
  </si>
  <si>
    <t>E-BOOK ESPS IPAS SD/MI KLS.4/KM/VOL.2/1TH</t>
  </si>
  <si>
    <t>0025100780</t>
  </si>
  <si>
    <t>E-BOOK MATEMATIKA REGULER SD/MI KLS.4/KM/1TH</t>
  </si>
  <si>
    <t>WONO S.</t>
  </si>
  <si>
    <t>0026130140</t>
  </si>
  <si>
    <t>E-BOOK PENJASORKES REGULER SD/MI KLS.4/KM/1TH</t>
  </si>
  <si>
    <t>0027000140</t>
  </si>
  <si>
    <t>E-BOOK SENI BUDAYA REGULER SD/MI KLS.4/KM/1TH</t>
  </si>
  <si>
    <t>0027400100</t>
  </si>
  <si>
    <t>E-BOOK ESPS SENI RUPA SD/MI KLS.4/KM/1TH</t>
  </si>
  <si>
    <t>0020040220</t>
  </si>
  <si>
    <t>E-BOOK INFORMATIKA SD/MI KLS.4/KM/1TH</t>
  </si>
  <si>
    <t>penulis</t>
  </si>
  <si>
    <t>kode</t>
  </si>
  <si>
    <t>B0000000000000007472</t>
  </si>
  <si>
    <t>B0000000000000007473</t>
  </si>
  <si>
    <t>B0000000000000007474</t>
  </si>
  <si>
    <t>B0000000000000007475</t>
  </si>
  <si>
    <t>B0000000000000007476</t>
  </si>
  <si>
    <t>B0000000000000007477</t>
  </si>
  <si>
    <t>B0000000000000007478</t>
  </si>
  <si>
    <t>B0000000000000007479</t>
  </si>
  <si>
    <t>B0000000000000007480</t>
  </si>
  <si>
    <t>B0000000000000007481</t>
  </si>
  <si>
    <t>B0000000000000007482</t>
  </si>
  <si>
    <t>E-BOOK_ESPS_B__INDONESIA_SD_MI_KLS_4_KM_1TH.jpg</t>
  </si>
  <si>
    <t>E-BOOK_PEND_AGAMA_ISLAM_&amp;_BUDI_PEKERTI_SD_KLS_4_KM_1TH.jpg</t>
  </si>
  <si>
    <t>E-BOOK_ESPS_PENDIDIKAN_PANCASILA_SD_MI_KLS_4_KM_1TH.jpg</t>
  </si>
  <si>
    <t>E-BOOK_GROW_WITH_ENGLISH_4_KM_1TH.jpg</t>
  </si>
  <si>
    <t>E-BOOK_ESPS_IPAS_SD_MI_KLS_4_KM_VOL_1_1TH.jpg</t>
  </si>
  <si>
    <t>E-BOOK_ESPS_IPAS_SD_MI_KLS_4_KM_VOL_2_1TH.jpg</t>
  </si>
  <si>
    <t>E-BOOK_MATEMATIKA_REGULER_SD_MI_KLS_4_KM_1TH.jpg</t>
  </si>
  <si>
    <t>E-BOOK_PENJASORKES_REGULER_SD_MI_KLS_4_KM_1TH.jpg</t>
  </si>
  <si>
    <t>E-BOOK_SENI_BUDAYA_REGULER_SD_MI_KLS_4_KM_1TH.jpg</t>
  </si>
  <si>
    <t>E-BOOK_ESPS_SENI_RUPA_SD_MI_KLS_4_KM_1TH.jpg</t>
  </si>
  <si>
    <t>E-BOOK_INFORMATIKA_SD_MI_KLS_4_KM_1TH.jpg</t>
  </si>
  <si>
    <t>app://ebook-erlangga/v1/0024100280</t>
  </si>
  <si>
    <t>app://ebook-erlangga/v1/0022970300</t>
  </si>
  <si>
    <t>app://ebook-erlangga/v1/0023230330</t>
  </si>
  <si>
    <t>app://ebook-erlangga/v1/0024200410</t>
  </si>
  <si>
    <t>app://ebook-erlangga/v1/0025000910</t>
  </si>
  <si>
    <t>app://ebook-erlangga/v1/0025000920</t>
  </si>
  <si>
    <t>app://ebook-erlangga/v1/0025100780</t>
  </si>
  <si>
    <t>app://ebook-erlangga/v1/0026130140</t>
  </si>
  <si>
    <t>app://ebook-erlangga/v1/0027000140</t>
  </si>
  <si>
    <t>app://ebook-erlangga/v1/0027400100</t>
  </si>
  <si>
    <t>app://ebook-erlangga/v1/0020040220</t>
  </si>
  <si>
    <t>insert into ebooks (book_code, isbn, )</t>
  </si>
  <si>
    <t>0033000090</t>
  </si>
  <si>
    <t>E-BOOK IPS SMP/MTS KLS.7/KM/1TH</t>
  </si>
  <si>
    <t>N. SUPARNO-T.D. HARYO TAMTOMO</t>
  </si>
  <si>
    <t>KM</t>
  </si>
  <si>
    <t>SMP</t>
  </si>
  <si>
    <t>0033230490</t>
  </si>
  <si>
    <t>E-BOOK PENDIDIKAN PANCASILA SMP/MTS KLS.7/KM/1TH</t>
  </si>
  <si>
    <t>SATAR-T.D. HARYO TAMTOMO</t>
  </si>
  <si>
    <t>0034200160</t>
  </si>
  <si>
    <t>E-BOOK BRIGHT AN ENGLISH COURSE SMP 7/KM/1TH</t>
  </si>
  <si>
    <t>NUR ZAIDA</t>
  </si>
  <si>
    <t>0034900320</t>
  </si>
  <si>
    <t>E-BOOK MAHIR BERBHS INDONESIA SMP/MTS KLS.7/KM/1TH</t>
  </si>
  <si>
    <t>TIM EDUKATIF</t>
  </si>
  <si>
    <t>0035001130</t>
  </si>
  <si>
    <t>E-BOOK IPA SMP/MTS KLS.7/KM-REVISI/1TH</t>
  </si>
  <si>
    <t>TIM ABDI GURU</t>
  </si>
  <si>
    <t>0032970130</t>
  </si>
  <si>
    <t>E-BOOK PEND AGAMA ISLAM &amp; BUDI PEKERTI SMP KLS.7/KM/1TH</t>
  </si>
  <si>
    <t>NASIKIN, DKK</t>
  </si>
  <si>
    <t>0030040140</t>
  </si>
  <si>
    <t>E-BOOK INFORMATIKA SMP/MTS KLS.7/KM/1TH</t>
  </si>
  <si>
    <t>HENRY PANDIA</t>
  </si>
  <si>
    <t>0036130230</t>
  </si>
  <si>
    <t>E-BOOK PENJASORKES SMP/MTS KLS.7/KM/1TH</t>
  </si>
  <si>
    <t>MASRIAN, DKK</t>
  </si>
  <si>
    <t>0033000370</t>
  </si>
  <si>
    <t>E-BOOK IPS SMP/MTS KLS.8/KM/1TH</t>
  </si>
  <si>
    <t>0033230550</t>
  </si>
  <si>
    <t>E-BOOK PENDIDIKAN PANCASILA SMP/MTS KLS.8/KM/1TH</t>
  </si>
  <si>
    <t>0034900560</t>
  </si>
  <si>
    <t>E-BOOK MAHIR BERBHS INDONESIA SMP/MTS KLS.8/KM/1TH</t>
  </si>
  <si>
    <t>0035000450</t>
  </si>
  <si>
    <t>E-BOOK IPA SMP/MTS KLS.8/KM/1TH</t>
  </si>
  <si>
    <t>0036130070</t>
  </si>
  <si>
    <t>E-BOOK PENJASORKES SMP/MTS KLS.8/KM/1TH</t>
  </si>
  <si>
    <t>0030040200</t>
  </si>
  <si>
    <t>E-BOOK INFORMATIKA SMP/MTS KLS.8/KM/1TH</t>
  </si>
  <si>
    <t>0032970510</t>
  </si>
  <si>
    <t>E-BOOK PEND AGAMA ISLAM &amp; BUDI PEKERTI SMP KLS.8/KM/1TH</t>
  </si>
  <si>
    <t>0035100670</t>
  </si>
  <si>
    <t>E-BOOK MATEMATIKA SMP/MTS KLS.8/KM/1TH</t>
  </si>
  <si>
    <t>WONO SETYA BUDHI, DKK</t>
  </si>
  <si>
    <t>0034200170</t>
  </si>
  <si>
    <t>E-BOOK BRIGHT AN ENGLISH COURSE SMP 8/KM/1TH</t>
  </si>
  <si>
    <t>0037000440</t>
  </si>
  <si>
    <t>E-BOOK SENI MUSIK SMP/MTS KLS.8/KM/1TH</t>
  </si>
  <si>
    <t>SISWANDI-EDDY SUCIPTO</t>
  </si>
  <si>
    <t>8</t>
  </si>
  <si>
    <t>0035001090</t>
  </si>
  <si>
    <t>E-BOOK IPA SMP/MTS KLS.9/KM/1TH</t>
  </si>
  <si>
    <t>9</t>
  </si>
  <si>
    <t>0033230170</t>
  </si>
  <si>
    <t>E-BOOK PENDIDIKAN PANCASILA SMP/MTS KLS.9/KM/1TH</t>
  </si>
  <si>
    <t>0034180490</t>
  </si>
  <si>
    <t>E-BOOK MARDIKA BASA LAN SASTRA JAWA SMP KLS.9/KM/1TH</t>
  </si>
  <si>
    <t>TUKIJO-EKO WAHYUDI-TRIMO</t>
  </si>
  <si>
    <t>0034900600</t>
  </si>
  <si>
    <t>E-BOOK MAHIR BERBHS INDONESIA SMP/MTS KLS.9/KM/1TH</t>
  </si>
  <si>
    <t xml:space="preserve">0035100680 </t>
  </si>
  <si>
    <t>E-BOOK MATEMATIKA SMP/MTS KLS.9/KM/1TH</t>
  </si>
  <si>
    <t xml:space="preserve">0036130090 </t>
  </si>
  <si>
    <t>E-BOOK PENJASORKES SMP/MTS KLS.9/KM/1TH</t>
  </si>
  <si>
    <t>0030040210</t>
  </si>
  <si>
    <t>E-BOOK INFORMATIKA SMP/MTS KLS.9/KM/1TH</t>
  </si>
  <si>
    <t>0033000470</t>
  </si>
  <si>
    <t>E-BOOK IPS SMP/MTS KLS.9/KM/1TH</t>
  </si>
  <si>
    <t>0032970250</t>
  </si>
  <si>
    <t>E-BOOK PEND AGAMA ISLAM &amp; BUDI PEKERTI SMP KLS.9/KM/1TH</t>
  </si>
  <si>
    <t>0043010150</t>
  </si>
  <si>
    <t>E-BOOK IPS: SOSIOLOGI SMA/MA KLS.10/KM/1TH</t>
  </si>
  <si>
    <t>KUN MARYATI-JUJU SURYAWATI-NINA RATNA SUMINAR</t>
  </si>
  <si>
    <t>SMA</t>
  </si>
  <si>
    <t>0043230410</t>
  </si>
  <si>
    <t>E-BOOK PENDIDIKAN PANCASILA SMA/MA KLS.10/KM/1TH</t>
  </si>
  <si>
    <t>YUYUS KARDIMAN, DKK</t>
  </si>
  <si>
    <t>0043300160</t>
  </si>
  <si>
    <t>E-BOOK IPS: EKONOMI SMA/MA KLS.10/KM-REVISI/1TH</t>
  </si>
  <si>
    <t>ALAM S.-ARISTANTI W.</t>
  </si>
  <si>
    <t>0044200450</t>
  </si>
  <si>
    <t>E-BOOK PATHWAY TO ENGLISH SMA/MA JL.1/KM/1TH</t>
  </si>
  <si>
    <t>TH. SUDARWATI-EUDIA GRACE</t>
  </si>
  <si>
    <t>0044900650</t>
  </si>
  <si>
    <t>E-BOOK KOMPETEN BERBHS INDONESIA SMA/MA KLS.10/KM/1TH</t>
  </si>
  <si>
    <t>0045100250</t>
  </si>
  <si>
    <t>E-BOOK MATEMATIKA SMA/MA KLS.10/KM/1TH</t>
  </si>
  <si>
    <t>B.K. NOORMANDIRI</t>
  </si>
  <si>
    <t>0045300260</t>
  </si>
  <si>
    <t>E-BOOK IPA FISIKA SMA/MA KLS.10/KM/1TH</t>
  </si>
  <si>
    <t>NI KETUT LASMI</t>
  </si>
  <si>
    <t>0045400760</t>
  </si>
  <si>
    <t>E-BOOK IPA KIMIA SMA/MA KLS.10/KM/1TH</t>
  </si>
  <si>
    <t>UNGGUL SUDARMO</t>
  </si>
  <si>
    <t>0045700500</t>
  </si>
  <si>
    <t>E-BOOK IPA BIOLOGI SMA/MA KLS.10/KM/1TH</t>
  </si>
  <si>
    <t>IRNANINGTYAS-SYLVA SAGITA</t>
  </si>
  <si>
    <t>0049000350</t>
  </si>
  <si>
    <t>E-BOOK IPS: GEOGRAFI SMA/MA KLS.10/KM/1TH</t>
  </si>
  <si>
    <t>YASINTO SINDHU PRIASTOMO</t>
  </si>
  <si>
    <t>0043010520</t>
  </si>
  <si>
    <t>E-BOOK SOSIOLOGI SMA/MA KLS.11/KM/1TH</t>
  </si>
  <si>
    <t>0043300200</t>
  </si>
  <si>
    <t>E-BOOK EKONOMI SMA/MA KLS.11/KM/1TH</t>
  </si>
  <si>
    <t>0044900290</t>
  </si>
  <si>
    <t>E-BOOK KOMPETEN BERBHS INDONESIA SMA/MA KLS.11/KM/1TH</t>
  </si>
  <si>
    <t>0049000360</t>
  </si>
  <si>
    <t>E-BOOK GEOGRAFI SMA/MA KLS.11/KM/1TH</t>
  </si>
  <si>
    <t>0049070270</t>
  </si>
  <si>
    <t>E-BOOK SEJARAH SMA/MA KLS.11/KM/1TH</t>
  </si>
  <si>
    <t>RATNA HAPSARI-M. ADIL</t>
  </si>
  <si>
    <t>0045101300</t>
  </si>
  <si>
    <t>E-BOOK MATEMATIKA SMA/MA KLS.11/KM/1TH</t>
  </si>
  <si>
    <t>0045101370</t>
  </si>
  <si>
    <t>E-BOOK MATEMATIKA TK LANJUT SMA/MA KLS.11/KM/1TH</t>
  </si>
  <si>
    <t>0045300920</t>
  </si>
  <si>
    <t>E-BOOK FISIKA SMA/MA KLS.11/KM/1TH</t>
  </si>
  <si>
    <t>0045400770</t>
  </si>
  <si>
    <t>E-BOOK KIMIA SMA/MA KLS.11/KM/1TH</t>
  </si>
  <si>
    <t>0045700510</t>
  </si>
  <si>
    <t>E-BOOK BIOLOGI SMA/MA KLS.11/KM/1TH</t>
  </si>
  <si>
    <t>0045700560</t>
  </si>
  <si>
    <t>E-BOOK BIOLOGI SMA/MA KLS.12/KM/1TH</t>
  </si>
  <si>
    <t>12</t>
  </si>
  <si>
    <t>0045101440</t>
  </si>
  <si>
    <t>E-BOOK MATEMATIKA SMA/MA TINGKAT LANJUT KLS.12/KM/1TH</t>
  </si>
  <si>
    <t>IMAN SANTOSO-B.K. NOORMANDIRI</t>
  </si>
  <si>
    <t>0045400840</t>
  </si>
  <si>
    <t>E-BOOK KIMIA SMA/MA KLS.12/KM/1TH</t>
  </si>
  <si>
    <t>0045301020</t>
  </si>
  <si>
    <t>E-BOOK FISIKA SMA/MA KLS.12/KM/1TH</t>
  </si>
  <si>
    <t>0043300400</t>
  </si>
  <si>
    <t>E-BOOK EKONOMI SMA/MA KLS.12/KM/1TH</t>
  </si>
  <si>
    <t xml:space="preserve"> 0049000430</t>
  </si>
  <si>
    <t>E-BOOK GEOGRAFI SMA/MA KLS.12/KM/1TH</t>
  </si>
  <si>
    <t>0049070280</t>
  </si>
  <si>
    <t>E-BOOK SEJARAH SMA/MA KLS.12/KM/1TH</t>
  </si>
  <si>
    <t>0040040280</t>
  </si>
  <si>
    <t>E-BOOK INFORMATIKA SMA/MA KLS.12/KM/1TH</t>
  </si>
  <si>
    <t>0043230200</t>
  </si>
  <si>
    <t>E-BOOK PENDIDIKAN PANCASILA SMA/MA KLS.12/KM/1TH</t>
  </si>
  <si>
    <t xml:space="preserve">0044900300 </t>
  </si>
  <si>
    <t>E-BOOK KOMPETEN BERBHS INDONESIA SMA/MA KLS.12/KM/1TH</t>
  </si>
  <si>
    <t>cover_img</t>
  </si>
  <si>
    <t>author</t>
  </si>
  <si>
    <t>E-BOOK_IPS_SMP_MTS_KLS_7_KM_1TH.jpg</t>
  </si>
  <si>
    <t>E-BOOK_PENDIDIKAN_PANCASILA_SMP_MTS_KLS_7_KM_1TH.jpg</t>
  </si>
  <si>
    <t>E-BOOK_BRIGHT_AN_ENGLISH_COURSE_SMP_7_KM_1TH.jpg</t>
  </si>
  <si>
    <t>E-BOOK_MAHIR_BERBHS_INDONESIA_SMP_MTS_KLS_7_KM_1TH.jpg</t>
  </si>
  <si>
    <t>E-BOOK_IPA_SMP_MTS_KLS_7_KM-REVISI_1TH.jpg</t>
  </si>
  <si>
    <t>E-BOOK_PEND_AGAMA_ISLAM_&amp;_BUDI_PEKERTI_SMP_KLS_7_KM_1TH.jpg</t>
  </si>
  <si>
    <t>E-BOOK_INFORMATIKA_SMP_MTS_KLS_7_KM_1TH.jpg</t>
  </si>
  <si>
    <t>E-BOOK_PENJASORKES_SMP_MTS_KLS_7_KM_1TH.jpg</t>
  </si>
  <si>
    <t>E-BOOK_IPS_SMP_MTS_KLS_8_KM_1TH.jpg</t>
  </si>
  <si>
    <t>E-BOOK_PENDIDIKAN_PANCASILA_SMP_MTS_KLS_8_KM_1TH.jpg</t>
  </si>
  <si>
    <t>E-BOOK_MAHIR_BERBHS_INDONESIA_SMP_MTS_KLS_8_KM_1TH.jpg</t>
  </si>
  <si>
    <t>E-BOOK_IPA_SMP_MTS_KLS_8_KM_1TH.jpg</t>
  </si>
  <si>
    <t>E-BOOK_PENJASORKES_SMP_MTS_KLS_8_KM_1TH.jpg</t>
  </si>
  <si>
    <t>E-BOOK_INFORMATIKA_SMP_MTS_KLS_8_KM_1TH.jpg</t>
  </si>
  <si>
    <t>E-BOOK_PEND_AGAMA_ISLAM_&amp;_BUDI_PEKERTI_SMP_KLS_8_KM_1TH.jpg</t>
  </si>
  <si>
    <t>E-BOOK_MATEMATIKA_SMP_MTS_KLS_8_KM_1TH.jpg</t>
  </si>
  <si>
    <t>E-BOOK_BRIGHT_AN_ENGLISH_COURSE_SMP_8_KM_1TH.jpg</t>
  </si>
  <si>
    <t>E-BOOK_SENI_MUSIK_SMP_MTS_KLS_8_KM_1TH.jpg</t>
  </si>
  <si>
    <t>E-BOOK_IPA_SMP_MTS_KLS_9_KM_1TH.jpg</t>
  </si>
  <si>
    <t>E-BOOK_PENDIDIKAN_PANCASILA_SMP_MTS_KLS_9_KM_1TH.jpg</t>
  </si>
  <si>
    <t>E-BOOK_MARDIKA_BASA_LAN_SASTRA_JAWA_SMP_KLS_9_KM_1TH.jpg</t>
  </si>
  <si>
    <t>E-BOOK_MAHIR_BERBHS_INDONESIA_SMP_MTS_KLS_9_KM_1TH.jpg</t>
  </si>
  <si>
    <t>E-BOOK_MATEMATIKA_SMP_MTS_KLS_9_KM_1TH.jpg</t>
  </si>
  <si>
    <t>E-BOOK_PENJASORKES_SMP_MTS_KLS_9_KM_1TH.jpg</t>
  </si>
  <si>
    <t>E-BOOK_INFORMATIKA_SMP_MTS_KLS_9_KM_1TH.jpg</t>
  </si>
  <si>
    <t>E-BOOK_IPS_SMP_MTS_KLS_9_KM_1TH.jpg</t>
  </si>
  <si>
    <t>E-BOOK_PEND_AGAMA_ISLAM_&amp;_BUDI_PEKERTI_SMP_KLS_9_KM_1TH.jpg</t>
  </si>
  <si>
    <t>E-BOOK_IPS:_SOSIOLOGI_SMA_MA_KLS_10_KM_1TH.jpg</t>
  </si>
  <si>
    <t>E-BOOK_PENDIDIKAN_PANCASILA_SMA_MA_KLS_10_KM_1TH.jpg</t>
  </si>
  <si>
    <t>E-BOOK_IPS:_EKONOMI_SMA_MA_KLS_10_KM-REVISI_1TH.jpg</t>
  </si>
  <si>
    <t>E-BOOK_PATHWAY_TO_ENGLISH_SMA_MA_JL_1_KM_1TH.jpg</t>
  </si>
  <si>
    <t>E-BOOK_KOMPETEN_BERBHS_INDONESIA_SMA_MA_KLS_10_KM_1TH.jpg</t>
  </si>
  <si>
    <t>E-BOOK_MATEMATIKA_SMA_MA_KLS_10_KM_1TH.jpg</t>
  </si>
  <si>
    <t>E-BOOK_IPA_FISIKA_SMA_MA_KLS_10_KM_1TH.jpg</t>
  </si>
  <si>
    <t>E-BOOK_IPA_KIMIA_SMA_MA_KLS_10_KM_1TH.jpg</t>
  </si>
  <si>
    <t>E-BOOK_IPA_BIOLOGI_SMA_MA_KLS_10_KM_1TH.jpg</t>
  </si>
  <si>
    <t>E-BOOK_IPS:_GEOGRAFI_SMA_MA_KLS_10_KM_1TH.jpg</t>
  </si>
  <si>
    <t>E-BOOK_SOSIOLOGI_SMA_MA_KLS_11_KM_1TH.jpg</t>
  </si>
  <si>
    <t>E-BOOK_EKONOMI_SMA_MA_KLS_11_KM_1TH.jpg</t>
  </si>
  <si>
    <t>E-BOOK_KOMPETEN_BERBHS_INDONESIA_SMA_MA_KLS_11_KM_1TH.jpg</t>
  </si>
  <si>
    <t>E-BOOK_GEOGRAFI_SMA_MA_KLS_11_KM_1TH.jpg</t>
  </si>
  <si>
    <t>E-BOOK_SEJARAH_SMA_MA_KLS_11_KM_1TH.jpg</t>
  </si>
  <si>
    <t>E-BOOK_MATEMATIKA_SMA_MA_KLS_11_KM_1TH.jpg</t>
  </si>
  <si>
    <t>E-BOOK_MATEMATIKA_TK_LANJUT_SMA_MA_KLS_11_KM_1TH.jpg</t>
  </si>
  <si>
    <t>E-BOOK_FISIKA_SMA_MA_KLS_11_KM_1TH.jpg</t>
  </si>
  <si>
    <t>E-BOOK_KIMIA_SMA_MA_KLS_11_KM_1TH.jpg</t>
  </si>
  <si>
    <t>E-BOOK_BIOLOGI_SMA_MA_KLS_11_KM_1TH.jpg</t>
  </si>
  <si>
    <t>E-BOOK_BIOLOGI_SMA_MA_KLS_12_KM_1TH.jpg</t>
  </si>
  <si>
    <t>E-BOOK_MATEMATIKA_SMA_MA_TINGKAT_LANJUT_KLS_12_KM_1TH.jpg</t>
  </si>
  <si>
    <t>E-BOOK_KIMIA_SMA_MA_KLS_12_KM_1TH.jpg</t>
  </si>
  <si>
    <t>E-BOOK_FISIKA_SMA_MA_KLS_12_KM_1TH.jpg</t>
  </si>
  <si>
    <t>E-BOOK_EKONOMI_SMA_MA_KLS_12_KM_1TH.jpg</t>
  </si>
  <si>
    <t>E-BOOK_GEOGRAFI_SMA_MA_KLS_12_KM_1TH.jpg</t>
  </si>
  <si>
    <t>E-BOOK_SEJARAH_SMA_MA_KLS_12_KM_1TH.jpg</t>
  </si>
  <si>
    <t>E-BOOK_INFORMATIKA_SMA_MA_KLS_12_KM_1TH.jpg</t>
  </si>
  <si>
    <t>E-BOOK_PENDIDIKAN_PANCASILA_SMA_MA_KLS_12_KM_1TH.jpg</t>
  </si>
  <si>
    <t>E-BOOK_KOMPETEN_BERBHS_INDONESIA_SMA_MA_KLS_12_KM_1TH.jpg</t>
  </si>
  <si>
    <t>class_level</t>
  </si>
  <si>
    <t>from_api</t>
  </si>
  <si>
    <t>file_1</t>
  </si>
  <si>
    <t>app://ebook-erlangga/v1/0033000090</t>
  </si>
  <si>
    <t>app://ebook-erlangga/v1/0033230490</t>
  </si>
  <si>
    <t>app://ebook-erlangga/v1/0034200160</t>
  </si>
  <si>
    <t>app://ebook-erlangga/v1/0034900320</t>
  </si>
  <si>
    <t>app://ebook-erlangga/v1/0035001130</t>
  </si>
  <si>
    <t>app://ebook-erlangga/v1/0032970130</t>
  </si>
  <si>
    <t>app://ebook-erlangga/v1/0030040140</t>
  </si>
  <si>
    <t>app://ebook-erlangga/v1/0036130230</t>
  </si>
  <si>
    <t>app://ebook-erlangga/v1/0033000370</t>
  </si>
  <si>
    <t>app://ebook-erlangga/v1/0033230550</t>
  </si>
  <si>
    <t>app://ebook-erlangga/v1/0034900560</t>
  </si>
  <si>
    <t>app://ebook-erlangga/v1/0035000450</t>
  </si>
  <si>
    <t>app://ebook-erlangga/v1/0036130070</t>
  </si>
  <si>
    <t>app://ebook-erlangga/v1/0030040200</t>
  </si>
  <si>
    <t>app://ebook-erlangga/v1/0032970510</t>
  </si>
  <si>
    <t>app://ebook-erlangga/v1/0035100670</t>
  </si>
  <si>
    <t>app://ebook-erlangga/v1/0034200170</t>
  </si>
  <si>
    <t>app://ebook-erlangga/v1/0037000440</t>
  </si>
  <si>
    <t>app://ebook-erlangga/v1/0035001090</t>
  </si>
  <si>
    <t>app://ebook-erlangga/v1/0033230170</t>
  </si>
  <si>
    <t>app://ebook-erlangga/v1/0034180490</t>
  </si>
  <si>
    <t>app://ebook-erlangga/v1/0034900600</t>
  </si>
  <si>
    <t xml:space="preserve">app://ebook-erlangga/v1/0035100680 </t>
  </si>
  <si>
    <t xml:space="preserve">app://ebook-erlangga/v1/0036130090 </t>
  </si>
  <si>
    <t>app://ebook-erlangga/v1/0030040210</t>
  </si>
  <si>
    <t>app://ebook-erlangga/v1/0033000470</t>
  </si>
  <si>
    <t>app://ebook-erlangga/v1/0032970250</t>
  </si>
  <si>
    <t>app://ebook-erlangga/v1/0043010150</t>
  </si>
  <si>
    <t>app://ebook-erlangga/v1/0043230410</t>
  </si>
  <si>
    <t>app://ebook-erlangga/v1/0043300160</t>
  </si>
  <si>
    <t>app://ebook-erlangga/v1/0044200450</t>
  </si>
  <si>
    <t>app://ebook-erlangga/v1/0044900650</t>
  </si>
  <si>
    <t>app://ebook-erlangga/v1/0045100250</t>
  </si>
  <si>
    <t>app://ebook-erlangga/v1/0045300260</t>
  </si>
  <si>
    <t>app://ebook-erlangga/v1/0045400760</t>
  </si>
  <si>
    <t>app://ebook-erlangga/v1/0045700500</t>
  </si>
  <si>
    <t>app://ebook-erlangga/v1/0049000350</t>
  </si>
  <si>
    <t>app://ebook-erlangga/v1/0043010520</t>
  </si>
  <si>
    <t>app://ebook-erlangga/v1/0043300200</t>
  </si>
  <si>
    <t>app://ebook-erlangga/v1/0044900290</t>
  </si>
  <si>
    <t>app://ebook-erlangga/v1/0049000360</t>
  </si>
  <si>
    <t>app://ebook-erlangga/v1/0049070270</t>
  </si>
  <si>
    <t>app://ebook-erlangga/v1/0045101300</t>
  </si>
  <si>
    <t>app://ebook-erlangga/v1/0045101370</t>
  </si>
  <si>
    <t>app://ebook-erlangga/v1/0045300920</t>
  </si>
  <si>
    <t>app://ebook-erlangga/v1/0045400770</t>
  </si>
  <si>
    <t>app://ebook-erlangga/v1/0045700510</t>
  </si>
  <si>
    <t>app://ebook-erlangga/v1/0045700560</t>
  </si>
  <si>
    <t>app://ebook-erlangga/v1/0045101440</t>
  </si>
  <si>
    <t>app://ebook-erlangga/v1/0045400840</t>
  </si>
  <si>
    <t>app://ebook-erlangga/v1/0045301020</t>
  </si>
  <si>
    <t>app://ebook-erlangga/v1/0043300400</t>
  </si>
  <si>
    <t>app://ebook-erlangga/v1/ 0049000430</t>
  </si>
  <si>
    <t>app://ebook-erlangga/v1/0049070280</t>
  </si>
  <si>
    <t>app://ebook-erlangga/v1/0040040280</t>
  </si>
  <si>
    <t>app://ebook-erlangga/v1/0043230200</t>
  </si>
  <si>
    <t xml:space="preserve">app://ebook-erlangga/v1/0044900300 </t>
  </si>
  <si>
    <t>category_id</t>
  </si>
  <si>
    <t>publisher_id</t>
  </si>
  <si>
    <t>book_code</t>
  </si>
  <si>
    <t>B0000000000000007483</t>
  </si>
  <si>
    <t>B0000000000000007484</t>
  </si>
  <si>
    <t>B0000000000000007485</t>
  </si>
  <si>
    <t>B0000000000000007486</t>
  </si>
  <si>
    <t>B0000000000000007487</t>
  </si>
  <si>
    <t>B0000000000000007488</t>
  </si>
  <si>
    <t>B0000000000000007489</t>
  </si>
  <si>
    <t>B0000000000000007490</t>
  </si>
  <si>
    <t>B0000000000000007491</t>
  </si>
  <si>
    <t>B0000000000000007492</t>
  </si>
  <si>
    <t>B0000000000000007493</t>
  </si>
  <si>
    <t>B0000000000000007494</t>
  </si>
  <si>
    <t>B0000000000000007495</t>
  </si>
  <si>
    <t>B0000000000000007496</t>
  </si>
  <si>
    <t>B0000000000000007497</t>
  </si>
  <si>
    <t>B0000000000000007498</t>
  </si>
  <si>
    <t>B0000000000000007499</t>
  </si>
  <si>
    <t>B0000000000000007500</t>
  </si>
  <si>
    <t>B0000000000000007501</t>
  </si>
  <si>
    <t>B0000000000000007502</t>
  </si>
  <si>
    <t>B0000000000000007503</t>
  </si>
  <si>
    <t>B0000000000000007504</t>
  </si>
  <si>
    <t>B0000000000000007505</t>
  </si>
  <si>
    <t>B0000000000000007506</t>
  </si>
  <si>
    <t>B0000000000000007507</t>
  </si>
  <si>
    <t>B0000000000000007508</t>
  </si>
  <si>
    <t>B0000000000000007509</t>
  </si>
  <si>
    <t>B0000000000000007510</t>
  </si>
  <si>
    <t>B0000000000000007511</t>
  </si>
  <si>
    <t>B0000000000000007512</t>
  </si>
  <si>
    <t>B0000000000000007513</t>
  </si>
  <si>
    <t>B0000000000000007514</t>
  </si>
  <si>
    <t>B0000000000000007515</t>
  </si>
  <si>
    <t>B0000000000000007516</t>
  </si>
  <si>
    <t>B0000000000000007517</t>
  </si>
  <si>
    <t>B0000000000000007518</t>
  </si>
  <si>
    <t>B0000000000000007519</t>
  </si>
  <si>
    <t>B0000000000000007520</t>
  </si>
  <si>
    <t>B0000000000000007521</t>
  </si>
  <si>
    <t>B0000000000000007522</t>
  </si>
  <si>
    <t>B0000000000000007523</t>
  </si>
  <si>
    <t>B0000000000000007524</t>
  </si>
  <si>
    <t>B0000000000000007525</t>
  </si>
  <si>
    <t>B0000000000000007526</t>
  </si>
  <si>
    <t>B0000000000000007527</t>
  </si>
  <si>
    <t>B0000000000000007528</t>
  </si>
  <si>
    <t>B0000000000000007529</t>
  </si>
  <si>
    <t>B0000000000000007530</t>
  </si>
  <si>
    <t>B0000000000000007531</t>
  </si>
  <si>
    <t>B0000000000000007532</t>
  </si>
  <si>
    <t>B0000000000000007533</t>
  </si>
  <si>
    <t>B0000000000000007534</t>
  </si>
  <si>
    <t>B0000000000000007535</t>
  </si>
  <si>
    <t>B0000000000000007536</t>
  </si>
  <si>
    <t>B0000000000000007537</t>
  </si>
  <si>
    <t>B0000000000000007538</t>
  </si>
  <si>
    <t>B0000000000000007539</t>
  </si>
  <si>
    <t>insert into ebooks (book_code, isbn, title, cover_img, file_1, author, from_api, category_id, publisher_id, class_level) values 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</si>
</sst>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20">
    <xf numFmtId="0" fontId="0" fillId="0" borderId="0" xfId="0"/>
    <xf numFmtId="49" fontId="1" fillId="0" borderId="1" xfId="0" applyNumberFormat="1" applyFont="1" applyBorder="1" applyAlignment="1">
      <alignment horizontal="center" readingOrder="1"/>
    </xf>
    <xf numFmtId="0" fontId="1" fillId="0" borderId="1" xfId="0" applyFont="1" applyBorder="1" applyAlignment="1">
      <alignment readingOrder="1"/>
    </xf>
    <xf numFmtId="0" fontId="1" fillId="0" borderId="1" xfId="0" applyFont="1" applyBorder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/>
    </xf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left"/>
    </xf>
    <xf numFmtId="49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1" fillId="0" borderId="1" xfId="0" applyNumberFormat="1" applyFont="1" applyBorder="1" applyAlignment="1">
      <alignment horizontal="center" vertical="center" readingOrder="1"/>
    </xf>
    <xf numFmtId="49" fontId="2" fillId="0" borderId="1" xfId="0" applyNumberFormat="1" applyFont="1" applyBorder="1" applyAlignment="1">
      <alignment horizontal="center" vertical="center" readingOrder="1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1A913-7876-4315-A0DA-C64FE2BCB598}">
  <dimension ref="A1:H12"/>
  <sheetViews>
    <sheetView workbookViewId="0">
      <selection activeCell="D6" sqref="D6"/>
    </sheetView>
  </sheetViews>
  <sheetFormatPr defaultRowHeight="15" x14ac:dyDescent="0.25"/>
  <cols>
    <col min="1" max="1" width="21.5703125" customWidth="1"/>
    <col min="2" max="2" width="11.7109375" customWidth="1"/>
    <col min="3" max="3" width="14.140625" customWidth="1"/>
    <col min="4" max="4" width="17.5703125" customWidth="1"/>
    <col min="5" max="5" width="19.28515625" customWidth="1"/>
    <col min="6" max="6" width="35" bestFit="1" customWidth="1"/>
    <col min="7" max="7" width="7" customWidth="1"/>
    <col min="8" max="8" width="44.42578125" bestFit="1" customWidth="1"/>
    <col min="9" max="9" width="7" customWidth="1"/>
  </cols>
  <sheetData>
    <row r="1" spans="1:8" x14ac:dyDescent="0.25">
      <c r="A1" t="s">
        <v>38</v>
      </c>
      <c r="B1" t="s">
        <v>2</v>
      </c>
      <c r="C1" t="s">
        <v>0</v>
      </c>
      <c r="D1" t="s">
        <v>1</v>
      </c>
      <c r="E1" t="s">
        <v>37</v>
      </c>
      <c r="F1" t="s">
        <v>10</v>
      </c>
      <c r="G1" t="s">
        <v>9</v>
      </c>
    </row>
    <row r="2" spans="1:8" x14ac:dyDescent="0.25">
      <c r="A2" t="s">
        <v>39</v>
      </c>
      <c r="B2" t="s">
        <v>11</v>
      </c>
      <c r="C2" t="s">
        <v>12</v>
      </c>
      <c r="D2" t="s">
        <v>50</v>
      </c>
      <c r="E2" t="s">
        <v>13</v>
      </c>
      <c r="F2" t="s">
        <v>61</v>
      </c>
      <c r="G2">
        <v>4</v>
      </c>
      <c r="H2" t="s">
        <v>72</v>
      </c>
    </row>
    <row r="3" spans="1:8" x14ac:dyDescent="0.25">
      <c r="A3" t="s">
        <v>40</v>
      </c>
      <c r="B3" t="s">
        <v>14</v>
      </c>
      <c r="C3" t="s">
        <v>15</v>
      </c>
      <c r="D3" t="s">
        <v>51</v>
      </c>
      <c r="E3" t="s">
        <v>16</v>
      </c>
      <c r="F3" t="s">
        <v>62</v>
      </c>
      <c r="G3">
        <v>4</v>
      </c>
    </row>
    <row r="4" spans="1:8" x14ac:dyDescent="0.25">
      <c r="A4" t="s">
        <v>41</v>
      </c>
      <c r="B4" t="s">
        <v>17</v>
      </c>
      <c r="C4" t="s">
        <v>18</v>
      </c>
      <c r="D4" t="s">
        <v>52</v>
      </c>
      <c r="E4" t="s">
        <v>6</v>
      </c>
      <c r="F4" t="s">
        <v>63</v>
      </c>
      <c r="G4">
        <v>4</v>
      </c>
    </row>
    <row r="5" spans="1:8" x14ac:dyDescent="0.25">
      <c r="A5" t="s">
        <v>42</v>
      </c>
      <c r="B5" t="s">
        <v>19</v>
      </c>
      <c r="C5" t="s">
        <v>20</v>
      </c>
      <c r="D5" t="s">
        <v>53</v>
      </c>
      <c r="E5" t="s">
        <v>21</v>
      </c>
      <c r="F5" t="s">
        <v>64</v>
      </c>
      <c r="G5">
        <v>4</v>
      </c>
    </row>
    <row r="6" spans="1:8" x14ac:dyDescent="0.25">
      <c r="A6" t="s">
        <v>43</v>
      </c>
      <c r="B6" t="s">
        <v>22</v>
      </c>
      <c r="C6" t="s">
        <v>23</v>
      </c>
      <c r="D6" t="s">
        <v>54</v>
      </c>
      <c r="E6" t="s">
        <v>3</v>
      </c>
      <c r="F6" t="s">
        <v>65</v>
      </c>
      <c r="G6">
        <v>4</v>
      </c>
    </row>
    <row r="7" spans="1:8" x14ac:dyDescent="0.25">
      <c r="A7" t="s">
        <v>44</v>
      </c>
      <c r="B7" t="s">
        <v>24</v>
      </c>
      <c r="C7" t="s">
        <v>25</v>
      </c>
      <c r="D7" t="s">
        <v>55</v>
      </c>
      <c r="E7" t="s">
        <v>3</v>
      </c>
      <c r="F7" t="s">
        <v>66</v>
      </c>
      <c r="G7">
        <v>4</v>
      </c>
    </row>
    <row r="8" spans="1:8" x14ac:dyDescent="0.25">
      <c r="A8" t="s">
        <v>45</v>
      </c>
      <c r="B8" t="s">
        <v>26</v>
      </c>
      <c r="C8" t="s">
        <v>27</v>
      </c>
      <c r="D8" t="s">
        <v>56</v>
      </c>
      <c r="E8" t="s">
        <v>28</v>
      </c>
      <c r="F8" t="s">
        <v>67</v>
      </c>
      <c r="G8">
        <v>4</v>
      </c>
    </row>
    <row r="9" spans="1:8" x14ac:dyDescent="0.25">
      <c r="A9" t="s">
        <v>46</v>
      </c>
      <c r="B9" t="s">
        <v>29</v>
      </c>
      <c r="C9" t="s">
        <v>30</v>
      </c>
      <c r="D9" t="s">
        <v>57</v>
      </c>
      <c r="E9" t="s">
        <v>4</v>
      </c>
      <c r="F9" t="s">
        <v>68</v>
      </c>
      <c r="G9">
        <v>4</v>
      </c>
    </row>
    <row r="10" spans="1:8" x14ac:dyDescent="0.25">
      <c r="A10" t="s">
        <v>47</v>
      </c>
      <c r="B10" t="s">
        <v>31</v>
      </c>
      <c r="C10" t="s">
        <v>32</v>
      </c>
      <c r="D10" t="s">
        <v>58</v>
      </c>
      <c r="E10" t="s">
        <v>5</v>
      </c>
      <c r="F10" t="s">
        <v>69</v>
      </c>
      <c r="G10">
        <v>4</v>
      </c>
    </row>
    <row r="11" spans="1:8" x14ac:dyDescent="0.25">
      <c r="A11" t="s">
        <v>48</v>
      </c>
      <c r="B11" t="s">
        <v>33</v>
      </c>
      <c r="C11" t="s">
        <v>34</v>
      </c>
      <c r="D11" t="s">
        <v>59</v>
      </c>
      <c r="E11" t="s">
        <v>7</v>
      </c>
      <c r="F11" t="s">
        <v>70</v>
      </c>
      <c r="G11">
        <v>4</v>
      </c>
    </row>
    <row r="12" spans="1:8" x14ac:dyDescent="0.25">
      <c r="A12" t="s">
        <v>49</v>
      </c>
      <c r="B12" t="s">
        <v>35</v>
      </c>
      <c r="C12" t="s">
        <v>36</v>
      </c>
      <c r="D12" t="s">
        <v>60</v>
      </c>
      <c r="E12" t="s">
        <v>8</v>
      </c>
      <c r="F12" t="s">
        <v>71</v>
      </c>
      <c r="G1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83EFF-DFF2-4DAB-8F86-B0F8A92D962E}">
  <dimension ref="A1:W58"/>
  <sheetViews>
    <sheetView tabSelected="1" topLeftCell="E1" workbookViewId="0">
      <selection activeCell="H11" sqref="H11"/>
    </sheetView>
  </sheetViews>
  <sheetFormatPr defaultRowHeight="15" x14ac:dyDescent="0.25"/>
  <cols>
    <col min="1" max="1" width="21.5703125" bestFit="1" customWidth="1"/>
    <col min="2" max="2" width="11" bestFit="1" customWidth="1"/>
    <col min="3" max="3" width="59.140625" bestFit="1" customWidth="1"/>
    <col min="4" max="4" width="64.5703125" customWidth="1"/>
    <col min="5" max="5" width="35" bestFit="1" customWidth="1"/>
    <col min="6" max="6" width="33.5703125" bestFit="1" customWidth="1"/>
    <col min="7" max="7" width="9" bestFit="1" customWidth="1"/>
    <col min="8" max="8" width="11.28515625" bestFit="1" customWidth="1"/>
    <col min="9" max="9" width="12.140625" bestFit="1" customWidth="1"/>
    <col min="10" max="10" width="3.85546875" bestFit="1" customWidth="1"/>
    <col min="11" max="11" width="4.85546875" bestFit="1" customWidth="1"/>
    <col min="12" max="12" width="10.5703125" bestFit="1" customWidth="1"/>
    <col min="13" max="13" width="11.7109375" customWidth="1"/>
    <col min="14" max="14" width="9.42578125" customWidth="1"/>
    <col min="15" max="15" width="12.42578125" bestFit="1" customWidth="1"/>
    <col min="16" max="16" width="8.140625" customWidth="1"/>
    <col min="17" max="17" width="8.28515625" customWidth="1"/>
    <col min="18" max="18" width="11.28515625" customWidth="1"/>
    <col min="19" max="19" width="10" customWidth="1"/>
    <col min="20" max="20" width="2.5703125" bestFit="1" customWidth="1"/>
    <col min="21" max="22" width="3.5703125" bestFit="1" customWidth="1"/>
    <col min="23" max="23" width="3.28515625" bestFit="1" customWidth="1"/>
  </cols>
  <sheetData>
    <row r="1" spans="1:23" x14ac:dyDescent="0.25">
      <c r="A1" t="s">
        <v>336</v>
      </c>
      <c r="B1" t="s">
        <v>2</v>
      </c>
      <c r="C1" t="s">
        <v>0</v>
      </c>
      <c r="D1" t="s">
        <v>215</v>
      </c>
      <c r="E1" t="s">
        <v>276</v>
      </c>
      <c r="F1" t="s">
        <v>216</v>
      </c>
      <c r="G1" t="s">
        <v>275</v>
      </c>
      <c r="H1" t="s">
        <v>334</v>
      </c>
      <c r="I1" t="s">
        <v>335</v>
      </c>
      <c r="L1" t="s">
        <v>274</v>
      </c>
    </row>
    <row r="2" spans="1:23" x14ac:dyDescent="0.25">
      <c r="A2" t="s">
        <v>337</v>
      </c>
      <c r="B2" s="1" t="s">
        <v>73</v>
      </c>
      <c r="C2" s="2" t="s">
        <v>74</v>
      </c>
      <c r="D2" s="2" t="s">
        <v>217</v>
      </c>
      <c r="E2" s="2" t="s">
        <v>277</v>
      </c>
      <c r="F2" s="2" t="s">
        <v>75</v>
      </c>
      <c r="G2" s="2">
        <v>1</v>
      </c>
      <c r="H2" s="2">
        <v>91</v>
      </c>
      <c r="I2" s="2">
        <v>12</v>
      </c>
      <c r="J2" s="3" t="s">
        <v>76</v>
      </c>
      <c r="K2" s="3" t="s">
        <v>77</v>
      </c>
      <c r="L2" s="3">
        <v>7</v>
      </c>
      <c r="M2" t="s">
        <v>394</v>
      </c>
      <c r="N2" t="str">
        <f>CONCATENATE("'",A2,"',")</f>
        <v>'B0000000000000007483',</v>
      </c>
      <c r="O2" t="str">
        <f>CONCATENATE("'",B2,"',")</f>
        <v>'0033000090',</v>
      </c>
      <c r="P2" t="str">
        <f>CONCATENATE("'",C2,"',")</f>
        <v>'E-BOOK IPS SMP/MTS KLS.7/KM/1TH',</v>
      </c>
      <c r="Q2" t="str">
        <f>CONCATENATE("'",D2,"',")</f>
        <v>'E-BOOK_IPS_SMP_MTS_KLS_7_KM_1TH.jpg',</v>
      </c>
      <c r="R2" t="str">
        <f>CONCATENATE("'",E2,"',")</f>
        <v>'app://ebook-erlangga/v1/0033000090',</v>
      </c>
      <c r="S2" t="str">
        <f>CONCATENATE("'",F2,"',")</f>
        <v>'N. SUPARNO-T.D. HARYO TAMTOMO',</v>
      </c>
      <c r="T2" t="str">
        <f>CONCATENATE(1,",")</f>
        <v>1,</v>
      </c>
      <c r="U2" t="str">
        <f>CONCATENATE(H2,",")</f>
        <v>91,</v>
      </c>
      <c r="V2" t="str">
        <f>CONCATENATE(I2,",")</f>
        <v>12,</v>
      </c>
      <c r="W2" t="str">
        <f>CONCATENATE(L2,");")</f>
        <v>7);</v>
      </c>
    </row>
    <row r="3" spans="1:23" x14ac:dyDescent="0.25">
      <c r="A3" t="s">
        <v>338</v>
      </c>
      <c r="B3" s="1" t="s">
        <v>78</v>
      </c>
      <c r="C3" s="2" t="s">
        <v>79</v>
      </c>
      <c r="D3" s="2" t="s">
        <v>218</v>
      </c>
      <c r="E3" s="2" t="s">
        <v>278</v>
      </c>
      <c r="F3" s="2" t="s">
        <v>80</v>
      </c>
      <c r="G3" s="2">
        <v>1</v>
      </c>
      <c r="H3" s="2">
        <v>91</v>
      </c>
      <c r="I3" s="2">
        <v>12</v>
      </c>
      <c r="J3" s="3" t="s">
        <v>76</v>
      </c>
      <c r="K3" s="3" t="s">
        <v>77</v>
      </c>
      <c r="L3" s="3">
        <v>7</v>
      </c>
      <c r="M3" t="s">
        <v>394</v>
      </c>
      <c r="N3" t="str">
        <f t="shared" ref="N3:N58" si="0">CONCATENATE("'",A3,"',")</f>
        <v>'B0000000000000007484',</v>
      </c>
      <c r="O3" t="str">
        <f t="shared" ref="O3:O58" si="1">CONCATENATE("'",B3,"',")</f>
        <v>'0033230490',</v>
      </c>
      <c r="P3" t="str">
        <f t="shared" ref="P3:P58" si="2">CONCATENATE("'",C3,"',")</f>
        <v>'E-BOOK PENDIDIKAN PANCASILA SMP/MTS KLS.7/KM/1TH',</v>
      </c>
      <c r="Q3" t="str">
        <f t="shared" ref="Q3:Q58" si="3">CONCATENATE("'",D3,"',")</f>
        <v>'E-BOOK_PENDIDIKAN_PANCASILA_SMP_MTS_KLS_7_KM_1TH.jpg',</v>
      </c>
      <c r="R3" t="str">
        <f t="shared" ref="R3:R58" si="4">CONCATENATE("'",E3,"',")</f>
        <v>'app://ebook-erlangga/v1/0033230490',</v>
      </c>
      <c r="S3" t="str">
        <f t="shared" ref="S3:S58" si="5">CONCATENATE("'",F3,"',")</f>
        <v>'SATAR-T.D. HARYO TAMTOMO',</v>
      </c>
      <c r="T3" t="str">
        <f t="shared" ref="T3:T58" si="6">CONCATENATE(1,",")</f>
        <v>1,</v>
      </c>
      <c r="U3" t="str">
        <f t="shared" ref="U3:U58" si="7">CONCATENATE(H3,",")</f>
        <v>91,</v>
      </c>
      <c r="V3" t="str">
        <f t="shared" ref="V3:V58" si="8">CONCATENATE(I3,",")</f>
        <v>12,</v>
      </c>
      <c r="W3" t="str">
        <f t="shared" ref="W3:W58" si="9">CONCATENATE(L3,");")</f>
        <v>7);</v>
      </c>
    </row>
    <row r="4" spans="1:23" x14ac:dyDescent="0.25">
      <c r="A4" t="s">
        <v>339</v>
      </c>
      <c r="B4" s="1" t="s">
        <v>81</v>
      </c>
      <c r="C4" s="2" t="s">
        <v>82</v>
      </c>
      <c r="D4" s="2" t="s">
        <v>219</v>
      </c>
      <c r="E4" s="2" t="s">
        <v>279</v>
      </c>
      <c r="F4" s="2" t="s">
        <v>83</v>
      </c>
      <c r="G4" s="2">
        <v>1</v>
      </c>
      <c r="H4" s="2">
        <v>91</v>
      </c>
      <c r="I4" s="2">
        <v>12</v>
      </c>
      <c r="J4" s="3" t="s">
        <v>76</v>
      </c>
      <c r="K4" s="3" t="s">
        <v>77</v>
      </c>
      <c r="L4" s="3">
        <v>7</v>
      </c>
      <c r="M4" t="s">
        <v>394</v>
      </c>
      <c r="N4" t="str">
        <f t="shared" si="0"/>
        <v>'B0000000000000007485',</v>
      </c>
      <c r="O4" t="str">
        <f t="shared" si="1"/>
        <v>'0034200160',</v>
      </c>
      <c r="P4" t="str">
        <f t="shared" si="2"/>
        <v>'E-BOOK BRIGHT AN ENGLISH COURSE SMP 7/KM/1TH',</v>
      </c>
      <c r="Q4" t="str">
        <f t="shared" si="3"/>
        <v>'E-BOOK_BRIGHT_AN_ENGLISH_COURSE_SMP_7_KM_1TH.jpg',</v>
      </c>
      <c r="R4" t="str">
        <f t="shared" si="4"/>
        <v>'app://ebook-erlangga/v1/0034200160',</v>
      </c>
      <c r="S4" t="str">
        <f t="shared" si="5"/>
        <v>'NUR ZAIDA',</v>
      </c>
      <c r="T4" t="str">
        <f t="shared" si="6"/>
        <v>1,</v>
      </c>
      <c r="U4" t="str">
        <f t="shared" si="7"/>
        <v>91,</v>
      </c>
      <c r="V4" t="str">
        <f t="shared" si="8"/>
        <v>12,</v>
      </c>
      <c r="W4" t="str">
        <f t="shared" si="9"/>
        <v>7);</v>
      </c>
    </row>
    <row r="5" spans="1:23" x14ac:dyDescent="0.25">
      <c r="A5" t="s">
        <v>340</v>
      </c>
      <c r="B5" s="1" t="s">
        <v>84</v>
      </c>
      <c r="C5" s="2" t="s">
        <v>85</v>
      </c>
      <c r="D5" s="2" t="s">
        <v>220</v>
      </c>
      <c r="E5" s="2" t="s">
        <v>280</v>
      </c>
      <c r="F5" s="2" t="s">
        <v>86</v>
      </c>
      <c r="G5" s="2">
        <v>1</v>
      </c>
      <c r="H5" s="2">
        <v>91</v>
      </c>
      <c r="I5" s="2">
        <v>12</v>
      </c>
      <c r="J5" s="3" t="s">
        <v>76</v>
      </c>
      <c r="K5" s="3" t="s">
        <v>77</v>
      </c>
      <c r="L5" s="3">
        <v>7</v>
      </c>
      <c r="M5" t="s">
        <v>394</v>
      </c>
      <c r="N5" t="str">
        <f t="shared" si="0"/>
        <v>'B0000000000000007486',</v>
      </c>
      <c r="O5" t="str">
        <f t="shared" si="1"/>
        <v>'0034900320',</v>
      </c>
      <c r="P5" t="str">
        <f t="shared" si="2"/>
        <v>'E-BOOK MAHIR BERBHS INDONESIA SMP/MTS KLS.7/KM/1TH',</v>
      </c>
      <c r="Q5" t="str">
        <f t="shared" si="3"/>
        <v>'E-BOOK_MAHIR_BERBHS_INDONESIA_SMP_MTS_KLS_7_KM_1TH.jpg',</v>
      </c>
      <c r="R5" t="str">
        <f t="shared" si="4"/>
        <v>'app://ebook-erlangga/v1/0034900320',</v>
      </c>
      <c r="S5" t="str">
        <f t="shared" si="5"/>
        <v>'TIM EDUKATIF',</v>
      </c>
      <c r="T5" t="str">
        <f t="shared" si="6"/>
        <v>1,</v>
      </c>
      <c r="U5" t="str">
        <f t="shared" si="7"/>
        <v>91,</v>
      </c>
      <c r="V5" t="str">
        <f t="shared" si="8"/>
        <v>12,</v>
      </c>
      <c r="W5" t="str">
        <f t="shared" si="9"/>
        <v>7);</v>
      </c>
    </row>
    <row r="6" spans="1:23" x14ac:dyDescent="0.25">
      <c r="A6" t="s">
        <v>341</v>
      </c>
      <c r="B6" s="1" t="s">
        <v>87</v>
      </c>
      <c r="C6" s="2" t="s">
        <v>88</v>
      </c>
      <c r="D6" s="2" t="s">
        <v>221</v>
      </c>
      <c r="E6" s="2" t="s">
        <v>281</v>
      </c>
      <c r="F6" s="2" t="s">
        <v>89</v>
      </c>
      <c r="G6" s="2">
        <v>1</v>
      </c>
      <c r="H6" s="2">
        <v>91</v>
      </c>
      <c r="I6" s="2">
        <v>12</v>
      </c>
      <c r="J6" s="3" t="s">
        <v>76</v>
      </c>
      <c r="K6" s="3" t="s">
        <v>77</v>
      </c>
      <c r="L6" s="3">
        <v>7</v>
      </c>
      <c r="M6" t="s">
        <v>394</v>
      </c>
      <c r="N6" t="str">
        <f t="shared" si="0"/>
        <v>'B0000000000000007487',</v>
      </c>
      <c r="O6" t="str">
        <f t="shared" si="1"/>
        <v>'0035001130',</v>
      </c>
      <c r="P6" t="str">
        <f t="shared" si="2"/>
        <v>'E-BOOK IPA SMP/MTS KLS.7/KM-REVISI/1TH',</v>
      </c>
      <c r="Q6" t="str">
        <f t="shared" si="3"/>
        <v>'E-BOOK_IPA_SMP_MTS_KLS_7_KM-REVISI_1TH.jpg',</v>
      </c>
      <c r="R6" t="str">
        <f t="shared" si="4"/>
        <v>'app://ebook-erlangga/v1/0035001130',</v>
      </c>
      <c r="S6" t="str">
        <f t="shared" si="5"/>
        <v>'TIM ABDI GURU',</v>
      </c>
      <c r="T6" t="str">
        <f t="shared" si="6"/>
        <v>1,</v>
      </c>
      <c r="U6" t="str">
        <f t="shared" si="7"/>
        <v>91,</v>
      </c>
      <c r="V6" t="str">
        <f t="shared" si="8"/>
        <v>12,</v>
      </c>
      <c r="W6" t="str">
        <f t="shared" si="9"/>
        <v>7);</v>
      </c>
    </row>
    <row r="7" spans="1:23" x14ac:dyDescent="0.25">
      <c r="A7" t="s">
        <v>342</v>
      </c>
      <c r="B7" s="1" t="s">
        <v>90</v>
      </c>
      <c r="C7" s="2" t="s">
        <v>91</v>
      </c>
      <c r="D7" s="2" t="s">
        <v>222</v>
      </c>
      <c r="E7" s="2" t="s">
        <v>282</v>
      </c>
      <c r="F7" s="2" t="s">
        <v>92</v>
      </c>
      <c r="G7" s="2">
        <v>1</v>
      </c>
      <c r="H7" s="2">
        <v>91</v>
      </c>
      <c r="I7" s="2">
        <v>12</v>
      </c>
      <c r="J7" s="3" t="s">
        <v>76</v>
      </c>
      <c r="K7" s="3" t="s">
        <v>77</v>
      </c>
      <c r="L7" s="3">
        <v>7</v>
      </c>
      <c r="M7" t="s">
        <v>394</v>
      </c>
      <c r="N7" t="str">
        <f t="shared" si="0"/>
        <v>'B0000000000000007488',</v>
      </c>
      <c r="O7" t="str">
        <f t="shared" si="1"/>
        <v>'0032970130',</v>
      </c>
      <c r="P7" t="str">
        <f t="shared" si="2"/>
        <v>'E-BOOK PEND AGAMA ISLAM &amp; BUDI PEKERTI SMP KLS.7/KM/1TH',</v>
      </c>
      <c r="Q7" t="str">
        <f t="shared" si="3"/>
        <v>'E-BOOK_PEND_AGAMA_ISLAM_&amp;_BUDI_PEKERTI_SMP_KLS_7_KM_1TH.jpg',</v>
      </c>
      <c r="R7" t="str">
        <f t="shared" si="4"/>
        <v>'app://ebook-erlangga/v1/0032970130',</v>
      </c>
      <c r="S7" t="str">
        <f t="shared" si="5"/>
        <v>'NASIKIN, DKK',</v>
      </c>
      <c r="T7" t="str">
        <f t="shared" si="6"/>
        <v>1,</v>
      </c>
      <c r="U7" t="str">
        <f t="shared" si="7"/>
        <v>91,</v>
      </c>
      <c r="V7" t="str">
        <f t="shared" si="8"/>
        <v>12,</v>
      </c>
      <c r="W7" t="str">
        <f t="shared" si="9"/>
        <v>7);</v>
      </c>
    </row>
    <row r="8" spans="1:23" x14ac:dyDescent="0.25">
      <c r="A8" t="s">
        <v>343</v>
      </c>
      <c r="B8" s="1" t="s">
        <v>93</v>
      </c>
      <c r="C8" s="2" t="s">
        <v>94</v>
      </c>
      <c r="D8" s="2" t="s">
        <v>223</v>
      </c>
      <c r="E8" s="2" t="s">
        <v>283</v>
      </c>
      <c r="F8" s="2" t="s">
        <v>95</v>
      </c>
      <c r="G8" s="2">
        <v>1</v>
      </c>
      <c r="H8" s="2">
        <v>91</v>
      </c>
      <c r="I8" s="2">
        <v>12</v>
      </c>
      <c r="J8" s="3" t="s">
        <v>76</v>
      </c>
      <c r="K8" s="3" t="s">
        <v>77</v>
      </c>
      <c r="L8" s="3">
        <v>7</v>
      </c>
      <c r="M8" t="s">
        <v>394</v>
      </c>
      <c r="N8" t="str">
        <f t="shared" si="0"/>
        <v>'B0000000000000007489',</v>
      </c>
      <c r="O8" t="str">
        <f t="shared" si="1"/>
        <v>'0030040140',</v>
      </c>
      <c r="P8" t="str">
        <f t="shared" si="2"/>
        <v>'E-BOOK INFORMATIKA SMP/MTS KLS.7/KM/1TH',</v>
      </c>
      <c r="Q8" t="str">
        <f t="shared" si="3"/>
        <v>'E-BOOK_INFORMATIKA_SMP_MTS_KLS_7_KM_1TH.jpg',</v>
      </c>
      <c r="R8" t="str">
        <f t="shared" si="4"/>
        <v>'app://ebook-erlangga/v1/0030040140',</v>
      </c>
      <c r="S8" t="str">
        <f t="shared" si="5"/>
        <v>'HENRY PANDIA',</v>
      </c>
      <c r="T8" t="str">
        <f t="shared" si="6"/>
        <v>1,</v>
      </c>
      <c r="U8" t="str">
        <f t="shared" si="7"/>
        <v>91,</v>
      </c>
      <c r="V8" t="str">
        <f t="shared" si="8"/>
        <v>12,</v>
      </c>
      <c r="W8" t="str">
        <f t="shared" si="9"/>
        <v>7);</v>
      </c>
    </row>
    <row r="9" spans="1:23" x14ac:dyDescent="0.25">
      <c r="A9" t="s">
        <v>344</v>
      </c>
      <c r="B9" s="1" t="s">
        <v>96</v>
      </c>
      <c r="C9" s="2" t="s">
        <v>97</v>
      </c>
      <c r="D9" s="2" t="s">
        <v>224</v>
      </c>
      <c r="E9" s="2" t="s">
        <v>284</v>
      </c>
      <c r="F9" s="2" t="s">
        <v>98</v>
      </c>
      <c r="G9" s="2">
        <v>1</v>
      </c>
      <c r="H9" s="2">
        <v>91</v>
      </c>
      <c r="I9" s="2">
        <v>12</v>
      </c>
      <c r="J9" s="3" t="s">
        <v>76</v>
      </c>
      <c r="K9" s="3" t="s">
        <v>77</v>
      </c>
      <c r="L9" s="3">
        <v>7</v>
      </c>
      <c r="M9" t="s">
        <v>394</v>
      </c>
      <c r="N9" t="str">
        <f t="shared" si="0"/>
        <v>'B0000000000000007490',</v>
      </c>
      <c r="O9" t="str">
        <f t="shared" si="1"/>
        <v>'0036130230',</v>
      </c>
      <c r="P9" t="str">
        <f t="shared" si="2"/>
        <v>'E-BOOK PENJASORKES SMP/MTS KLS.7/KM/1TH',</v>
      </c>
      <c r="Q9" t="str">
        <f t="shared" si="3"/>
        <v>'E-BOOK_PENJASORKES_SMP_MTS_KLS_7_KM_1TH.jpg',</v>
      </c>
      <c r="R9" t="str">
        <f t="shared" si="4"/>
        <v>'app://ebook-erlangga/v1/0036130230',</v>
      </c>
      <c r="S9" t="str">
        <f t="shared" si="5"/>
        <v>'MASRIAN, DKK',</v>
      </c>
      <c r="T9" t="str">
        <f t="shared" si="6"/>
        <v>1,</v>
      </c>
      <c r="U9" t="str">
        <f t="shared" si="7"/>
        <v>91,</v>
      </c>
      <c r="V9" t="str">
        <f t="shared" si="8"/>
        <v>12,</v>
      </c>
      <c r="W9" t="str">
        <f t="shared" si="9"/>
        <v>7);</v>
      </c>
    </row>
    <row r="10" spans="1:23" x14ac:dyDescent="0.25">
      <c r="A10" t="s">
        <v>345</v>
      </c>
      <c r="B10" s="1" t="s">
        <v>99</v>
      </c>
      <c r="C10" s="2" t="s">
        <v>100</v>
      </c>
      <c r="D10" s="2" t="s">
        <v>225</v>
      </c>
      <c r="E10" s="2" t="s">
        <v>285</v>
      </c>
      <c r="F10" s="2" t="s">
        <v>75</v>
      </c>
      <c r="G10" s="2">
        <v>1</v>
      </c>
      <c r="H10" s="2">
        <v>91</v>
      </c>
      <c r="I10" s="2">
        <v>12</v>
      </c>
      <c r="J10" s="3" t="s">
        <v>76</v>
      </c>
      <c r="K10" s="3" t="s">
        <v>77</v>
      </c>
      <c r="L10" s="3">
        <v>8</v>
      </c>
      <c r="M10" t="s">
        <v>394</v>
      </c>
      <c r="N10" t="str">
        <f t="shared" si="0"/>
        <v>'B0000000000000007491',</v>
      </c>
      <c r="O10" t="str">
        <f t="shared" si="1"/>
        <v>'0033000370',</v>
      </c>
      <c r="P10" t="str">
        <f t="shared" si="2"/>
        <v>'E-BOOK IPS SMP/MTS KLS.8/KM/1TH',</v>
      </c>
      <c r="Q10" t="str">
        <f t="shared" si="3"/>
        <v>'E-BOOK_IPS_SMP_MTS_KLS_8_KM_1TH.jpg',</v>
      </c>
      <c r="R10" t="str">
        <f t="shared" si="4"/>
        <v>'app://ebook-erlangga/v1/0033000370',</v>
      </c>
      <c r="S10" t="str">
        <f t="shared" si="5"/>
        <v>'N. SUPARNO-T.D. HARYO TAMTOMO',</v>
      </c>
      <c r="T10" t="str">
        <f t="shared" si="6"/>
        <v>1,</v>
      </c>
      <c r="U10" t="str">
        <f t="shared" si="7"/>
        <v>91,</v>
      </c>
      <c r="V10" t="str">
        <f t="shared" si="8"/>
        <v>12,</v>
      </c>
      <c r="W10" t="str">
        <f t="shared" si="9"/>
        <v>8);</v>
      </c>
    </row>
    <row r="11" spans="1:23" x14ac:dyDescent="0.25">
      <c r="A11" t="s">
        <v>346</v>
      </c>
      <c r="B11" s="1" t="s">
        <v>101</v>
      </c>
      <c r="C11" s="2" t="s">
        <v>102</v>
      </c>
      <c r="D11" s="2" t="s">
        <v>226</v>
      </c>
      <c r="E11" s="2" t="s">
        <v>286</v>
      </c>
      <c r="F11" s="2" t="s">
        <v>80</v>
      </c>
      <c r="G11" s="2">
        <v>1</v>
      </c>
      <c r="H11" s="2">
        <v>91</v>
      </c>
      <c r="I11" s="2">
        <v>12</v>
      </c>
      <c r="J11" s="3" t="s">
        <v>76</v>
      </c>
      <c r="K11" s="3" t="s">
        <v>77</v>
      </c>
      <c r="L11" s="3">
        <v>8</v>
      </c>
      <c r="M11" t="s">
        <v>394</v>
      </c>
      <c r="N11" t="str">
        <f t="shared" si="0"/>
        <v>'B0000000000000007492',</v>
      </c>
      <c r="O11" t="str">
        <f t="shared" si="1"/>
        <v>'0033230550',</v>
      </c>
      <c r="P11" t="str">
        <f t="shared" si="2"/>
        <v>'E-BOOK PENDIDIKAN PANCASILA SMP/MTS KLS.8/KM/1TH',</v>
      </c>
      <c r="Q11" t="str">
        <f t="shared" si="3"/>
        <v>'E-BOOK_PENDIDIKAN_PANCASILA_SMP_MTS_KLS_8_KM_1TH.jpg',</v>
      </c>
      <c r="R11" t="str">
        <f t="shared" si="4"/>
        <v>'app://ebook-erlangga/v1/0033230550',</v>
      </c>
      <c r="S11" t="str">
        <f t="shared" si="5"/>
        <v>'SATAR-T.D. HARYO TAMTOMO',</v>
      </c>
      <c r="T11" t="str">
        <f t="shared" si="6"/>
        <v>1,</v>
      </c>
      <c r="U11" t="str">
        <f t="shared" si="7"/>
        <v>91,</v>
      </c>
      <c r="V11" t="str">
        <f t="shared" si="8"/>
        <v>12,</v>
      </c>
      <c r="W11" t="str">
        <f t="shared" si="9"/>
        <v>8);</v>
      </c>
    </row>
    <row r="12" spans="1:23" x14ac:dyDescent="0.25">
      <c r="A12" t="s">
        <v>347</v>
      </c>
      <c r="B12" s="1" t="s">
        <v>103</v>
      </c>
      <c r="C12" s="2" t="s">
        <v>104</v>
      </c>
      <c r="D12" s="2" t="s">
        <v>227</v>
      </c>
      <c r="E12" s="2" t="s">
        <v>287</v>
      </c>
      <c r="F12" s="2" t="s">
        <v>86</v>
      </c>
      <c r="G12" s="2">
        <v>1</v>
      </c>
      <c r="H12" s="2">
        <v>91</v>
      </c>
      <c r="I12" s="2">
        <v>12</v>
      </c>
      <c r="J12" s="3" t="s">
        <v>76</v>
      </c>
      <c r="K12" s="3" t="s">
        <v>77</v>
      </c>
      <c r="L12" s="3">
        <v>8</v>
      </c>
      <c r="M12" t="s">
        <v>394</v>
      </c>
      <c r="N12" t="str">
        <f t="shared" si="0"/>
        <v>'B0000000000000007493',</v>
      </c>
      <c r="O12" t="str">
        <f t="shared" si="1"/>
        <v>'0034900560',</v>
      </c>
      <c r="P12" t="str">
        <f t="shared" si="2"/>
        <v>'E-BOOK MAHIR BERBHS INDONESIA SMP/MTS KLS.8/KM/1TH',</v>
      </c>
      <c r="Q12" t="str">
        <f t="shared" si="3"/>
        <v>'E-BOOK_MAHIR_BERBHS_INDONESIA_SMP_MTS_KLS_8_KM_1TH.jpg',</v>
      </c>
      <c r="R12" t="str">
        <f t="shared" si="4"/>
        <v>'app://ebook-erlangga/v1/0034900560',</v>
      </c>
      <c r="S12" t="str">
        <f t="shared" si="5"/>
        <v>'TIM EDUKATIF',</v>
      </c>
      <c r="T12" t="str">
        <f t="shared" si="6"/>
        <v>1,</v>
      </c>
      <c r="U12" t="str">
        <f t="shared" si="7"/>
        <v>91,</v>
      </c>
      <c r="V12" t="str">
        <f t="shared" si="8"/>
        <v>12,</v>
      </c>
      <c r="W12" t="str">
        <f t="shared" si="9"/>
        <v>8);</v>
      </c>
    </row>
    <row r="13" spans="1:23" x14ac:dyDescent="0.25">
      <c r="A13" t="s">
        <v>348</v>
      </c>
      <c r="B13" s="1" t="s">
        <v>105</v>
      </c>
      <c r="C13" s="2" t="s">
        <v>106</v>
      </c>
      <c r="D13" s="2" t="s">
        <v>228</v>
      </c>
      <c r="E13" s="2" t="s">
        <v>288</v>
      </c>
      <c r="F13" s="2" t="s">
        <v>89</v>
      </c>
      <c r="G13" s="2">
        <v>1</v>
      </c>
      <c r="H13" s="2">
        <v>91</v>
      </c>
      <c r="I13" s="2">
        <v>12</v>
      </c>
      <c r="J13" s="3" t="s">
        <v>76</v>
      </c>
      <c r="K13" s="3" t="s">
        <v>77</v>
      </c>
      <c r="L13" s="3">
        <v>8</v>
      </c>
      <c r="M13" t="s">
        <v>394</v>
      </c>
      <c r="N13" t="str">
        <f t="shared" si="0"/>
        <v>'B0000000000000007494',</v>
      </c>
      <c r="O13" t="str">
        <f t="shared" si="1"/>
        <v>'0035000450',</v>
      </c>
      <c r="P13" t="str">
        <f t="shared" si="2"/>
        <v>'E-BOOK IPA SMP/MTS KLS.8/KM/1TH',</v>
      </c>
      <c r="Q13" t="str">
        <f t="shared" si="3"/>
        <v>'E-BOOK_IPA_SMP_MTS_KLS_8_KM_1TH.jpg',</v>
      </c>
      <c r="R13" t="str">
        <f t="shared" si="4"/>
        <v>'app://ebook-erlangga/v1/0035000450',</v>
      </c>
      <c r="S13" t="str">
        <f t="shared" si="5"/>
        <v>'TIM ABDI GURU',</v>
      </c>
      <c r="T13" t="str">
        <f t="shared" si="6"/>
        <v>1,</v>
      </c>
      <c r="U13" t="str">
        <f t="shared" si="7"/>
        <v>91,</v>
      </c>
      <c r="V13" t="str">
        <f t="shared" si="8"/>
        <v>12,</v>
      </c>
      <c r="W13" t="str">
        <f t="shared" si="9"/>
        <v>8);</v>
      </c>
    </row>
    <row r="14" spans="1:23" x14ac:dyDescent="0.25">
      <c r="A14" t="s">
        <v>349</v>
      </c>
      <c r="B14" s="1" t="s">
        <v>107</v>
      </c>
      <c r="C14" s="2" t="s">
        <v>108</v>
      </c>
      <c r="D14" s="2" t="s">
        <v>229</v>
      </c>
      <c r="E14" s="2" t="s">
        <v>289</v>
      </c>
      <c r="F14" s="2" t="s">
        <v>98</v>
      </c>
      <c r="G14" s="2">
        <v>1</v>
      </c>
      <c r="H14" s="2">
        <v>91</v>
      </c>
      <c r="I14" s="2">
        <v>12</v>
      </c>
      <c r="J14" s="3" t="s">
        <v>76</v>
      </c>
      <c r="K14" s="3" t="s">
        <v>77</v>
      </c>
      <c r="L14" s="3">
        <v>8</v>
      </c>
      <c r="M14" t="s">
        <v>394</v>
      </c>
      <c r="N14" t="str">
        <f t="shared" si="0"/>
        <v>'B0000000000000007495',</v>
      </c>
      <c r="O14" t="str">
        <f t="shared" si="1"/>
        <v>'0036130070',</v>
      </c>
      <c r="P14" t="str">
        <f t="shared" si="2"/>
        <v>'E-BOOK PENJASORKES SMP/MTS KLS.8/KM/1TH',</v>
      </c>
      <c r="Q14" t="str">
        <f t="shared" si="3"/>
        <v>'E-BOOK_PENJASORKES_SMP_MTS_KLS_8_KM_1TH.jpg',</v>
      </c>
      <c r="R14" t="str">
        <f t="shared" si="4"/>
        <v>'app://ebook-erlangga/v1/0036130070',</v>
      </c>
      <c r="S14" t="str">
        <f t="shared" si="5"/>
        <v>'MASRIAN, DKK',</v>
      </c>
      <c r="T14" t="str">
        <f t="shared" si="6"/>
        <v>1,</v>
      </c>
      <c r="U14" t="str">
        <f t="shared" si="7"/>
        <v>91,</v>
      </c>
      <c r="V14" t="str">
        <f t="shared" si="8"/>
        <v>12,</v>
      </c>
      <c r="W14" t="str">
        <f t="shared" si="9"/>
        <v>8);</v>
      </c>
    </row>
    <row r="15" spans="1:23" x14ac:dyDescent="0.25">
      <c r="A15" t="s">
        <v>350</v>
      </c>
      <c r="B15" s="1" t="s">
        <v>109</v>
      </c>
      <c r="C15" s="2" t="s">
        <v>110</v>
      </c>
      <c r="D15" s="2" t="s">
        <v>230</v>
      </c>
      <c r="E15" s="2" t="s">
        <v>290</v>
      </c>
      <c r="F15" s="2" t="s">
        <v>95</v>
      </c>
      <c r="G15" s="2">
        <v>1</v>
      </c>
      <c r="H15" s="2">
        <v>91</v>
      </c>
      <c r="I15" s="2">
        <v>12</v>
      </c>
      <c r="J15" s="3" t="s">
        <v>76</v>
      </c>
      <c r="K15" s="3" t="s">
        <v>77</v>
      </c>
      <c r="L15" s="3">
        <v>8</v>
      </c>
      <c r="M15" t="s">
        <v>394</v>
      </c>
      <c r="N15" t="str">
        <f t="shared" si="0"/>
        <v>'B0000000000000007496',</v>
      </c>
      <c r="O15" t="str">
        <f t="shared" si="1"/>
        <v>'0030040200',</v>
      </c>
      <c r="P15" t="str">
        <f t="shared" si="2"/>
        <v>'E-BOOK INFORMATIKA SMP/MTS KLS.8/KM/1TH',</v>
      </c>
      <c r="Q15" t="str">
        <f t="shared" si="3"/>
        <v>'E-BOOK_INFORMATIKA_SMP_MTS_KLS_8_KM_1TH.jpg',</v>
      </c>
      <c r="R15" t="str">
        <f t="shared" si="4"/>
        <v>'app://ebook-erlangga/v1/0030040200',</v>
      </c>
      <c r="S15" t="str">
        <f t="shared" si="5"/>
        <v>'HENRY PANDIA',</v>
      </c>
      <c r="T15" t="str">
        <f t="shared" si="6"/>
        <v>1,</v>
      </c>
      <c r="U15" t="str">
        <f t="shared" si="7"/>
        <v>91,</v>
      </c>
      <c r="V15" t="str">
        <f t="shared" si="8"/>
        <v>12,</v>
      </c>
      <c r="W15" t="str">
        <f t="shared" si="9"/>
        <v>8);</v>
      </c>
    </row>
    <row r="16" spans="1:23" x14ac:dyDescent="0.25">
      <c r="A16" t="s">
        <v>351</v>
      </c>
      <c r="B16" s="1" t="s">
        <v>111</v>
      </c>
      <c r="C16" s="2" t="s">
        <v>112</v>
      </c>
      <c r="D16" s="2" t="s">
        <v>231</v>
      </c>
      <c r="E16" s="2" t="s">
        <v>291</v>
      </c>
      <c r="F16" s="2" t="s">
        <v>92</v>
      </c>
      <c r="G16" s="2">
        <v>1</v>
      </c>
      <c r="H16" s="2">
        <v>91</v>
      </c>
      <c r="I16" s="2">
        <v>12</v>
      </c>
      <c r="J16" s="3" t="s">
        <v>76</v>
      </c>
      <c r="K16" s="3" t="s">
        <v>77</v>
      </c>
      <c r="L16" s="3">
        <v>8</v>
      </c>
      <c r="M16" t="s">
        <v>394</v>
      </c>
      <c r="N16" t="str">
        <f t="shared" si="0"/>
        <v>'B0000000000000007497',</v>
      </c>
      <c r="O16" t="str">
        <f t="shared" si="1"/>
        <v>'0032970510',</v>
      </c>
      <c r="P16" t="str">
        <f t="shared" si="2"/>
        <v>'E-BOOK PEND AGAMA ISLAM &amp; BUDI PEKERTI SMP KLS.8/KM/1TH',</v>
      </c>
      <c r="Q16" t="str">
        <f t="shared" si="3"/>
        <v>'E-BOOK_PEND_AGAMA_ISLAM_&amp;_BUDI_PEKERTI_SMP_KLS_8_KM_1TH.jpg',</v>
      </c>
      <c r="R16" t="str">
        <f t="shared" si="4"/>
        <v>'app://ebook-erlangga/v1/0032970510',</v>
      </c>
      <c r="S16" t="str">
        <f t="shared" si="5"/>
        <v>'NASIKIN, DKK',</v>
      </c>
      <c r="T16" t="str">
        <f t="shared" si="6"/>
        <v>1,</v>
      </c>
      <c r="U16" t="str">
        <f t="shared" si="7"/>
        <v>91,</v>
      </c>
      <c r="V16" t="str">
        <f t="shared" si="8"/>
        <v>12,</v>
      </c>
      <c r="W16" t="str">
        <f t="shared" si="9"/>
        <v>8);</v>
      </c>
    </row>
    <row r="17" spans="1:23" x14ac:dyDescent="0.25">
      <c r="A17" t="s">
        <v>352</v>
      </c>
      <c r="B17" s="1" t="s">
        <v>113</v>
      </c>
      <c r="C17" s="2" t="s">
        <v>114</v>
      </c>
      <c r="D17" s="2" t="s">
        <v>232</v>
      </c>
      <c r="E17" s="2" t="s">
        <v>292</v>
      </c>
      <c r="F17" s="2" t="s">
        <v>115</v>
      </c>
      <c r="G17" s="2">
        <v>1</v>
      </c>
      <c r="H17" s="2">
        <v>91</v>
      </c>
      <c r="I17" s="2">
        <v>12</v>
      </c>
      <c r="J17" s="3" t="s">
        <v>76</v>
      </c>
      <c r="K17" s="3" t="s">
        <v>77</v>
      </c>
      <c r="L17" s="3">
        <v>8</v>
      </c>
      <c r="M17" t="s">
        <v>394</v>
      </c>
      <c r="N17" t="str">
        <f t="shared" si="0"/>
        <v>'B0000000000000007498',</v>
      </c>
      <c r="O17" t="str">
        <f t="shared" si="1"/>
        <v>'0035100670',</v>
      </c>
      <c r="P17" t="str">
        <f t="shared" si="2"/>
        <v>'E-BOOK MATEMATIKA SMP/MTS KLS.8/KM/1TH',</v>
      </c>
      <c r="Q17" t="str">
        <f t="shared" si="3"/>
        <v>'E-BOOK_MATEMATIKA_SMP_MTS_KLS_8_KM_1TH.jpg',</v>
      </c>
      <c r="R17" t="str">
        <f t="shared" si="4"/>
        <v>'app://ebook-erlangga/v1/0035100670',</v>
      </c>
      <c r="S17" t="str">
        <f t="shared" si="5"/>
        <v>'WONO SETYA BUDHI, DKK',</v>
      </c>
      <c r="T17" t="str">
        <f t="shared" si="6"/>
        <v>1,</v>
      </c>
      <c r="U17" t="str">
        <f t="shared" si="7"/>
        <v>91,</v>
      </c>
      <c r="V17" t="str">
        <f t="shared" si="8"/>
        <v>12,</v>
      </c>
      <c r="W17" t="str">
        <f t="shared" si="9"/>
        <v>8);</v>
      </c>
    </row>
    <row r="18" spans="1:23" x14ac:dyDescent="0.25">
      <c r="A18" t="s">
        <v>353</v>
      </c>
      <c r="B18" s="4" t="s">
        <v>116</v>
      </c>
      <c r="C18" s="5" t="s">
        <v>117</v>
      </c>
      <c r="D18" s="2" t="s">
        <v>233</v>
      </c>
      <c r="E18" s="2" t="s">
        <v>293</v>
      </c>
      <c r="F18" s="5" t="s">
        <v>83</v>
      </c>
      <c r="G18" s="2">
        <v>1</v>
      </c>
      <c r="H18" s="2">
        <v>91</v>
      </c>
      <c r="I18" s="2">
        <v>12</v>
      </c>
      <c r="J18" s="3" t="s">
        <v>76</v>
      </c>
      <c r="K18" s="3" t="s">
        <v>77</v>
      </c>
      <c r="L18" s="3">
        <v>8</v>
      </c>
      <c r="M18" t="s">
        <v>394</v>
      </c>
      <c r="N18" t="str">
        <f t="shared" si="0"/>
        <v>'B0000000000000007499',</v>
      </c>
      <c r="O18" t="str">
        <f t="shared" si="1"/>
        <v>'0034200170',</v>
      </c>
      <c r="P18" t="str">
        <f t="shared" si="2"/>
        <v>'E-BOOK BRIGHT AN ENGLISH COURSE SMP 8/KM/1TH',</v>
      </c>
      <c r="Q18" t="str">
        <f t="shared" si="3"/>
        <v>'E-BOOK_BRIGHT_AN_ENGLISH_COURSE_SMP_8_KM_1TH.jpg',</v>
      </c>
      <c r="R18" t="str">
        <f t="shared" si="4"/>
        <v>'app://ebook-erlangga/v1/0034200170',</v>
      </c>
      <c r="S18" t="str">
        <f t="shared" si="5"/>
        <v>'NUR ZAIDA',</v>
      </c>
      <c r="T18" t="str">
        <f t="shared" si="6"/>
        <v>1,</v>
      </c>
      <c r="U18" t="str">
        <f t="shared" si="7"/>
        <v>91,</v>
      </c>
      <c r="V18" t="str">
        <f t="shared" si="8"/>
        <v>12,</v>
      </c>
      <c r="W18" t="str">
        <f t="shared" si="9"/>
        <v>8);</v>
      </c>
    </row>
    <row r="19" spans="1:23" x14ac:dyDescent="0.25">
      <c r="A19" t="s">
        <v>354</v>
      </c>
      <c r="B19" s="6" t="s">
        <v>118</v>
      </c>
      <c r="C19" s="5" t="s">
        <v>119</v>
      </c>
      <c r="D19" s="2" t="s">
        <v>234</v>
      </c>
      <c r="E19" s="2" t="s">
        <v>294</v>
      </c>
      <c r="F19" s="5" t="s">
        <v>120</v>
      </c>
      <c r="G19" s="2">
        <v>1</v>
      </c>
      <c r="H19" s="2">
        <v>91</v>
      </c>
      <c r="I19" s="2">
        <v>12</v>
      </c>
      <c r="J19" s="6" t="s">
        <v>76</v>
      </c>
      <c r="K19" s="6" t="s">
        <v>77</v>
      </c>
      <c r="L19" s="6" t="s">
        <v>121</v>
      </c>
      <c r="M19" t="s">
        <v>394</v>
      </c>
      <c r="N19" t="str">
        <f t="shared" si="0"/>
        <v>'B0000000000000007500',</v>
      </c>
      <c r="O19" t="str">
        <f t="shared" si="1"/>
        <v>'0037000440',</v>
      </c>
      <c r="P19" t="str">
        <f t="shared" si="2"/>
        <v>'E-BOOK SENI MUSIK SMP/MTS KLS.8/KM/1TH',</v>
      </c>
      <c r="Q19" t="str">
        <f t="shared" si="3"/>
        <v>'E-BOOK_SENI_MUSIK_SMP_MTS_KLS_8_KM_1TH.jpg',</v>
      </c>
      <c r="R19" t="str">
        <f t="shared" si="4"/>
        <v>'app://ebook-erlangga/v1/0037000440',</v>
      </c>
      <c r="S19" t="str">
        <f t="shared" si="5"/>
        <v>'SISWANDI-EDDY SUCIPTO',</v>
      </c>
      <c r="T19" t="str">
        <f t="shared" si="6"/>
        <v>1,</v>
      </c>
      <c r="U19" t="str">
        <f t="shared" si="7"/>
        <v>91,</v>
      </c>
      <c r="V19" t="str">
        <f t="shared" si="8"/>
        <v>12,</v>
      </c>
      <c r="W19" t="str">
        <f t="shared" si="9"/>
        <v>8);</v>
      </c>
    </row>
    <row r="20" spans="1:23" x14ac:dyDescent="0.25">
      <c r="A20" t="s">
        <v>355</v>
      </c>
      <c r="B20" s="7" t="s">
        <v>122</v>
      </c>
      <c r="C20" s="8" t="s">
        <v>123</v>
      </c>
      <c r="D20" s="2" t="s">
        <v>235</v>
      </c>
      <c r="E20" s="2" t="s">
        <v>295</v>
      </c>
      <c r="F20" s="8" t="s">
        <v>89</v>
      </c>
      <c r="G20" s="2">
        <v>1</v>
      </c>
      <c r="H20" s="2">
        <v>91</v>
      </c>
      <c r="I20" s="2">
        <v>12</v>
      </c>
      <c r="J20" s="7" t="s">
        <v>76</v>
      </c>
      <c r="K20" s="7" t="s">
        <v>77</v>
      </c>
      <c r="L20" s="7" t="s">
        <v>124</v>
      </c>
      <c r="M20" t="s">
        <v>394</v>
      </c>
      <c r="N20" t="str">
        <f t="shared" si="0"/>
        <v>'B0000000000000007501',</v>
      </c>
      <c r="O20" t="str">
        <f t="shared" si="1"/>
        <v>'0035001090',</v>
      </c>
      <c r="P20" t="str">
        <f t="shared" si="2"/>
        <v>'E-BOOK IPA SMP/MTS KLS.9/KM/1TH',</v>
      </c>
      <c r="Q20" t="str">
        <f t="shared" si="3"/>
        <v>'E-BOOK_IPA_SMP_MTS_KLS_9_KM_1TH.jpg',</v>
      </c>
      <c r="R20" t="str">
        <f t="shared" si="4"/>
        <v>'app://ebook-erlangga/v1/0035001090',</v>
      </c>
      <c r="S20" t="str">
        <f t="shared" si="5"/>
        <v>'TIM ABDI GURU',</v>
      </c>
      <c r="T20" t="str">
        <f t="shared" si="6"/>
        <v>1,</v>
      </c>
      <c r="U20" t="str">
        <f t="shared" si="7"/>
        <v>91,</v>
      </c>
      <c r="V20" t="str">
        <f t="shared" si="8"/>
        <v>12,</v>
      </c>
      <c r="W20" t="str">
        <f t="shared" si="9"/>
        <v>9);</v>
      </c>
    </row>
    <row r="21" spans="1:23" x14ac:dyDescent="0.25">
      <c r="A21" t="s">
        <v>356</v>
      </c>
      <c r="B21" s="9" t="s">
        <v>125</v>
      </c>
      <c r="C21" s="10" t="s">
        <v>126</v>
      </c>
      <c r="D21" s="2" t="s">
        <v>236</v>
      </c>
      <c r="E21" s="2" t="s">
        <v>296</v>
      </c>
      <c r="F21" s="10" t="s">
        <v>80</v>
      </c>
      <c r="G21" s="2">
        <v>1</v>
      </c>
      <c r="H21" s="2">
        <v>91</v>
      </c>
      <c r="I21" s="2">
        <v>12</v>
      </c>
      <c r="J21" s="7" t="s">
        <v>76</v>
      </c>
      <c r="K21" s="7" t="s">
        <v>77</v>
      </c>
      <c r="L21" s="7" t="s">
        <v>124</v>
      </c>
      <c r="M21" t="s">
        <v>394</v>
      </c>
      <c r="N21" t="str">
        <f t="shared" si="0"/>
        <v>'B0000000000000007502',</v>
      </c>
      <c r="O21" t="str">
        <f t="shared" si="1"/>
        <v>'0033230170',</v>
      </c>
      <c r="P21" t="str">
        <f t="shared" si="2"/>
        <v>'E-BOOK PENDIDIKAN PANCASILA SMP/MTS KLS.9/KM/1TH',</v>
      </c>
      <c r="Q21" t="str">
        <f t="shared" si="3"/>
        <v>'E-BOOK_PENDIDIKAN_PANCASILA_SMP_MTS_KLS_9_KM_1TH.jpg',</v>
      </c>
      <c r="R21" t="str">
        <f t="shared" si="4"/>
        <v>'app://ebook-erlangga/v1/0033230170',</v>
      </c>
      <c r="S21" t="str">
        <f t="shared" si="5"/>
        <v>'SATAR-T.D. HARYO TAMTOMO',</v>
      </c>
      <c r="T21" t="str">
        <f t="shared" si="6"/>
        <v>1,</v>
      </c>
      <c r="U21" t="str">
        <f t="shared" si="7"/>
        <v>91,</v>
      </c>
      <c r="V21" t="str">
        <f t="shared" si="8"/>
        <v>12,</v>
      </c>
      <c r="W21" t="str">
        <f t="shared" si="9"/>
        <v>9);</v>
      </c>
    </row>
    <row r="22" spans="1:23" x14ac:dyDescent="0.25">
      <c r="A22" t="s">
        <v>357</v>
      </c>
      <c r="B22" s="9" t="s">
        <v>127</v>
      </c>
      <c r="C22" s="10" t="s">
        <v>128</v>
      </c>
      <c r="D22" s="2" t="s">
        <v>237</v>
      </c>
      <c r="E22" s="2" t="s">
        <v>297</v>
      </c>
      <c r="F22" s="10" t="s">
        <v>129</v>
      </c>
      <c r="G22" s="2">
        <v>1</v>
      </c>
      <c r="H22" s="2">
        <v>91</v>
      </c>
      <c r="I22" s="2">
        <v>12</v>
      </c>
      <c r="J22" s="7" t="s">
        <v>76</v>
      </c>
      <c r="K22" s="7" t="s">
        <v>77</v>
      </c>
      <c r="L22" s="7" t="s">
        <v>124</v>
      </c>
      <c r="M22" t="s">
        <v>394</v>
      </c>
      <c r="N22" t="str">
        <f t="shared" si="0"/>
        <v>'B0000000000000007503',</v>
      </c>
      <c r="O22" t="str">
        <f t="shared" si="1"/>
        <v>'0034180490',</v>
      </c>
      <c r="P22" t="str">
        <f t="shared" si="2"/>
        <v>'E-BOOK MARDIKA BASA LAN SASTRA JAWA SMP KLS.9/KM/1TH',</v>
      </c>
      <c r="Q22" t="str">
        <f t="shared" si="3"/>
        <v>'E-BOOK_MARDIKA_BASA_LAN_SASTRA_JAWA_SMP_KLS_9_KM_1TH.jpg',</v>
      </c>
      <c r="R22" t="str">
        <f t="shared" si="4"/>
        <v>'app://ebook-erlangga/v1/0034180490',</v>
      </c>
      <c r="S22" t="str">
        <f t="shared" si="5"/>
        <v>'TUKIJO-EKO WAHYUDI-TRIMO',</v>
      </c>
      <c r="T22" t="str">
        <f t="shared" si="6"/>
        <v>1,</v>
      </c>
      <c r="U22" t="str">
        <f t="shared" si="7"/>
        <v>91,</v>
      </c>
      <c r="V22" t="str">
        <f t="shared" si="8"/>
        <v>12,</v>
      </c>
      <c r="W22" t="str">
        <f t="shared" si="9"/>
        <v>9);</v>
      </c>
    </row>
    <row r="23" spans="1:23" x14ac:dyDescent="0.25">
      <c r="A23" t="s">
        <v>358</v>
      </c>
      <c r="B23" s="9" t="s">
        <v>130</v>
      </c>
      <c r="C23" s="11" t="s">
        <v>131</v>
      </c>
      <c r="D23" s="2" t="s">
        <v>238</v>
      </c>
      <c r="E23" s="2" t="s">
        <v>298</v>
      </c>
      <c r="F23" s="10" t="s">
        <v>86</v>
      </c>
      <c r="G23" s="2">
        <v>1</v>
      </c>
      <c r="H23" s="2">
        <v>91</v>
      </c>
      <c r="I23" s="2">
        <v>12</v>
      </c>
      <c r="J23" s="7" t="s">
        <v>76</v>
      </c>
      <c r="K23" s="7" t="s">
        <v>77</v>
      </c>
      <c r="L23" s="7" t="s">
        <v>124</v>
      </c>
      <c r="M23" t="s">
        <v>394</v>
      </c>
      <c r="N23" t="str">
        <f t="shared" si="0"/>
        <v>'B0000000000000007504',</v>
      </c>
      <c r="O23" t="str">
        <f t="shared" si="1"/>
        <v>'0034900600',</v>
      </c>
      <c r="P23" t="str">
        <f t="shared" si="2"/>
        <v>'E-BOOK MAHIR BERBHS INDONESIA SMP/MTS KLS.9/KM/1TH',</v>
      </c>
      <c r="Q23" t="str">
        <f t="shared" si="3"/>
        <v>'E-BOOK_MAHIR_BERBHS_INDONESIA_SMP_MTS_KLS_9_KM_1TH.jpg',</v>
      </c>
      <c r="R23" t="str">
        <f t="shared" si="4"/>
        <v>'app://ebook-erlangga/v1/0034900600',</v>
      </c>
      <c r="S23" t="str">
        <f t="shared" si="5"/>
        <v>'TIM EDUKATIF',</v>
      </c>
      <c r="T23" t="str">
        <f t="shared" si="6"/>
        <v>1,</v>
      </c>
      <c r="U23" t="str">
        <f t="shared" si="7"/>
        <v>91,</v>
      </c>
      <c r="V23" t="str">
        <f t="shared" si="8"/>
        <v>12,</v>
      </c>
      <c r="W23" t="str">
        <f t="shared" si="9"/>
        <v>9);</v>
      </c>
    </row>
    <row r="24" spans="1:23" x14ac:dyDescent="0.25">
      <c r="A24" t="s">
        <v>359</v>
      </c>
      <c r="B24" s="9" t="s">
        <v>132</v>
      </c>
      <c r="C24" s="10" t="s">
        <v>133</v>
      </c>
      <c r="D24" s="2" t="s">
        <v>239</v>
      </c>
      <c r="E24" s="2" t="s">
        <v>299</v>
      </c>
      <c r="F24" s="10" t="s">
        <v>115</v>
      </c>
      <c r="G24" s="2">
        <v>1</v>
      </c>
      <c r="H24" s="2">
        <v>91</v>
      </c>
      <c r="I24" s="2">
        <v>12</v>
      </c>
      <c r="J24" s="7" t="s">
        <v>76</v>
      </c>
      <c r="K24" s="7" t="s">
        <v>77</v>
      </c>
      <c r="L24" s="7" t="s">
        <v>124</v>
      </c>
      <c r="M24" t="s">
        <v>394</v>
      </c>
      <c r="N24" t="str">
        <f t="shared" si="0"/>
        <v>'B0000000000000007505',</v>
      </c>
      <c r="O24" t="str">
        <f t="shared" si="1"/>
        <v>'0035100680 ',</v>
      </c>
      <c r="P24" t="str">
        <f t="shared" si="2"/>
        <v>'E-BOOK MATEMATIKA SMP/MTS KLS.9/KM/1TH',</v>
      </c>
      <c r="Q24" t="str">
        <f t="shared" si="3"/>
        <v>'E-BOOK_MATEMATIKA_SMP_MTS_KLS_9_KM_1TH.jpg',</v>
      </c>
      <c r="R24" t="str">
        <f t="shared" si="4"/>
        <v>'app://ebook-erlangga/v1/0035100680 ',</v>
      </c>
      <c r="S24" t="str">
        <f t="shared" si="5"/>
        <v>'WONO SETYA BUDHI, DKK',</v>
      </c>
      <c r="T24" t="str">
        <f t="shared" si="6"/>
        <v>1,</v>
      </c>
      <c r="U24" t="str">
        <f t="shared" si="7"/>
        <v>91,</v>
      </c>
      <c r="V24" t="str">
        <f t="shared" si="8"/>
        <v>12,</v>
      </c>
      <c r="W24" t="str">
        <f t="shared" si="9"/>
        <v>9);</v>
      </c>
    </row>
    <row r="25" spans="1:23" x14ac:dyDescent="0.25">
      <c r="A25" t="s">
        <v>360</v>
      </c>
      <c r="B25" s="9" t="s">
        <v>134</v>
      </c>
      <c r="C25" s="10" t="s">
        <v>135</v>
      </c>
      <c r="D25" s="2" t="s">
        <v>240</v>
      </c>
      <c r="E25" s="2" t="s">
        <v>300</v>
      </c>
      <c r="F25" s="10" t="s">
        <v>98</v>
      </c>
      <c r="G25" s="2">
        <v>1</v>
      </c>
      <c r="H25" s="2">
        <v>91</v>
      </c>
      <c r="I25" s="2">
        <v>12</v>
      </c>
      <c r="J25" s="7" t="s">
        <v>76</v>
      </c>
      <c r="K25" s="7" t="s">
        <v>77</v>
      </c>
      <c r="L25" s="7" t="s">
        <v>124</v>
      </c>
      <c r="M25" t="s">
        <v>394</v>
      </c>
      <c r="N25" t="str">
        <f t="shared" si="0"/>
        <v>'B0000000000000007506',</v>
      </c>
      <c r="O25" t="str">
        <f t="shared" si="1"/>
        <v>'0036130090 ',</v>
      </c>
      <c r="P25" t="str">
        <f t="shared" si="2"/>
        <v>'E-BOOK PENJASORKES SMP/MTS KLS.9/KM/1TH',</v>
      </c>
      <c r="Q25" t="str">
        <f t="shared" si="3"/>
        <v>'E-BOOK_PENJASORKES_SMP_MTS_KLS_9_KM_1TH.jpg',</v>
      </c>
      <c r="R25" t="str">
        <f t="shared" si="4"/>
        <v>'app://ebook-erlangga/v1/0036130090 ',</v>
      </c>
      <c r="S25" t="str">
        <f t="shared" si="5"/>
        <v>'MASRIAN, DKK',</v>
      </c>
      <c r="T25" t="str">
        <f t="shared" si="6"/>
        <v>1,</v>
      </c>
      <c r="U25" t="str">
        <f t="shared" si="7"/>
        <v>91,</v>
      </c>
      <c r="V25" t="str">
        <f t="shared" si="8"/>
        <v>12,</v>
      </c>
      <c r="W25" t="str">
        <f t="shared" si="9"/>
        <v>9);</v>
      </c>
    </row>
    <row r="26" spans="1:23" x14ac:dyDescent="0.25">
      <c r="A26" t="s">
        <v>361</v>
      </c>
      <c r="B26" s="9" t="s">
        <v>136</v>
      </c>
      <c r="C26" s="10" t="s">
        <v>137</v>
      </c>
      <c r="D26" s="2" t="s">
        <v>241</v>
      </c>
      <c r="E26" s="2" t="s">
        <v>301</v>
      </c>
      <c r="F26" s="10" t="s">
        <v>95</v>
      </c>
      <c r="G26" s="2">
        <v>1</v>
      </c>
      <c r="H26" s="2">
        <v>91</v>
      </c>
      <c r="I26" s="2">
        <v>12</v>
      </c>
      <c r="J26" s="7" t="s">
        <v>76</v>
      </c>
      <c r="K26" s="7" t="s">
        <v>77</v>
      </c>
      <c r="L26" s="7" t="s">
        <v>124</v>
      </c>
      <c r="M26" t="s">
        <v>394</v>
      </c>
      <c r="N26" t="str">
        <f t="shared" si="0"/>
        <v>'B0000000000000007507',</v>
      </c>
      <c r="O26" t="str">
        <f t="shared" si="1"/>
        <v>'0030040210',</v>
      </c>
      <c r="P26" t="str">
        <f t="shared" si="2"/>
        <v>'E-BOOK INFORMATIKA SMP/MTS KLS.9/KM/1TH',</v>
      </c>
      <c r="Q26" t="str">
        <f t="shared" si="3"/>
        <v>'E-BOOK_INFORMATIKA_SMP_MTS_KLS_9_KM_1TH.jpg',</v>
      </c>
      <c r="R26" t="str">
        <f t="shared" si="4"/>
        <v>'app://ebook-erlangga/v1/0030040210',</v>
      </c>
      <c r="S26" t="str">
        <f t="shared" si="5"/>
        <v>'HENRY PANDIA',</v>
      </c>
      <c r="T26" t="str">
        <f t="shared" si="6"/>
        <v>1,</v>
      </c>
      <c r="U26" t="str">
        <f t="shared" si="7"/>
        <v>91,</v>
      </c>
      <c r="V26" t="str">
        <f t="shared" si="8"/>
        <v>12,</v>
      </c>
      <c r="W26" t="str">
        <f t="shared" si="9"/>
        <v>9);</v>
      </c>
    </row>
    <row r="27" spans="1:23" x14ac:dyDescent="0.25">
      <c r="A27" t="s">
        <v>362</v>
      </c>
      <c r="B27" s="9" t="s">
        <v>138</v>
      </c>
      <c r="C27" s="10" t="s">
        <v>139</v>
      </c>
      <c r="D27" s="2" t="s">
        <v>242</v>
      </c>
      <c r="E27" s="2" t="s">
        <v>302</v>
      </c>
      <c r="F27" s="10" t="s">
        <v>75</v>
      </c>
      <c r="G27" s="2">
        <v>1</v>
      </c>
      <c r="H27" s="2">
        <v>91</v>
      </c>
      <c r="I27" s="2">
        <v>12</v>
      </c>
      <c r="J27" s="7" t="s">
        <v>76</v>
      </c>
      <c r="K27" s="7" t="s">
        <v>77</v>
      </c>
      <c r="L27" s="7" t="s">
        <v>124</v>
      </c>
      <c r="M27" t="s">
        <v>394</v>
      </c>
      <c r="N27" t="str">
        <f t="shared" si="0"/>
        <v>'B0000000000000007508',</v>
      </c>
      <c r="O27" t="str">
        <f t="shared" si="1"/>
        <v>'0033000470',</v>
      </c>
      <c r="P27" t="str">
        <f t="shared" si="2"/>
        <v>'E-BOOK IPS SMP/MTS KLS.9/KM/1TH',</v>
      </c>
      <c r="Q27" t="str">
        <f t="shared" si="3"/>
        <v>'E-BOOK_IPS_SMP_MTS_KLS_9_KM_1TH.jpg',</v>
      </c>
      <c r="R27" t="str">
        <f t="shared" si="4"/>
        <v>'app://ebook-erlangga/v1/0033000470',</v>
      </c>
      <c r="S27" t="str">
        <f t="shared" si="5"/>
        <v>'N. SUPARNO-T.D. HARYO TAMTOMO',</v>
      </c>
      <c r="T27" t="str">
        <f t="shared" si="6"/>
        <v>1,</v>
      </c>
      <c r="U27" t="str">
        <f t="shared" si="7"/>
        <v>91,</v>
      </c>
      <c r="V27" t="str">
        <f t="shared" si="8"/>
        <v>12,</v>
      </c>
      <c r="W27" t="str">
        <f t="shared" si="9"/>
        <v>9);</v>
      </c>
    </row>
    <row r="28" spans="1:23" x14ac:dyDescent="0.25">
      <c r="A28" t="s">
        <v>363</v>
      </c>
      <c r="B28" s="12" t="s">
        <v>140</v>
      </c>
      <c r="C28" s="13" t="s">
        <v>141</v>
      </c>
      <c r="D28" s="2" t="s">
        <v>243</v>
      </c>
      <c r="E28" s="2" t="s">
        <v>303</v>
      </c>
      <c r="F28" s="13" t="s">
        <v>92</v>
      </c>
      <c r="G28" s="2">
        <v>1</v>
      </c>
      <c r="H28" s="2">
        <v>91</v>
      </c>
      <c r="I28" s="2">
        <v>12</v>
      </c>
      <c r="J28" s="7" t="s">
        <v>76</v>
      </c>
      <c r="K28" s="7" t="s">
        <v>77</v>
      </c>
      <c r="L28" s="7" t="s">
        <v>124</v>
      </c>
      <c r="M28" t="s">
        <v>394</v>
      </c>
      <c r="N28" t="str">
        <f t="shared" si="0"/>
        <v>'B0000000000000007509',</v>
      </c>
      <c r="O28" t="str">
        <f t="shared" si="1"/>
        <v>'0032970250',</v>
      </c>
      <c r="P28" t="str">
        <f t="shared" si="2"/>
        <v>'E-BOOK PEND AGAMA ISLAM &amp; BUDI PEKERTI SMP KLS.9/KM/1TH',</v>
      </c>
      <c r="Q28" t="str">
        <f t="shared" si="3"/>
        <v>'E-BOOK_PEND_AGAMA_ISLAM_&amp;_BUDI_PEKERTI_SMP_KLS_9_KM_1TH.jpg',</v>
      </c>
      <c r="R28" t="str">
        <f t="shared" si="4"/>
        <v>'app://ebook-erlangga/v1/0032970250',</v>
      </c>
      <c r="S28" t="str">
        <f t="shared" si="5"/>
        <v>'NASIKIN, DKK',</v>
      </c>
      <c r="T28" t="str">
        <f t="shared" si="6"/>
        <v>1,</v>
      </c>
      <c r="U28" t="str">
        <f t="shared" si="7"/>
        <v>91,</v>
      </c>
      <c r="V28" t="str">
        <f t="shared" si="8"/>
        <v>12,</v>
      </c>
      <c r="W28" t="str">
        <f t="shared" si="9"/>
        <v>9);</v>
      </c>
    </row>
    <row r="29" spans="1:23" x14ac:dyDescent="0.25">
      <c r="A29" t="s">
        <v>364</v>
      </c>
      <c r="B29" s="14" t="s">
        <v>142</v>
      </c>
      <c r="C29" s="2" t="s">
        <v>143</v>
      </c>
      <c r="D29" s="2" t="s">
        <v>244</v>
      </c>
      <c r="E29" s="2" t="s">
        <v>304</v>
      </c>
      <c r="F29" s="2" t="s">
        <v>144</v>
      </c>
      <c r="G29" s="2">
        <v>1</v>
      </c>
      <c r="H29" s="2">
        <v>91</v>
      </c>
      <c r="I29" s="2">
        <v>12</v>
      </c>
      <c r="J29" s="3" t="s">
        <v>76</v>
      </c>
      <c r="K29" s="3" t="s">
        <v>145</v>
      </c>
      <c r="L29" s="3">
        <v>10</v>
      </c>
      <c r="M29" t="s">
        <v>394</v>
      </c>
      <c r="N29" t="str">
        <f t="shared" si="0"/>
        <v>'B0000000000000007510',</v>
      </c>
      <c r="O29" t="str">
        <f t="shared" si="1"/>
        <v>'0043010150',</v>
      </c>
      <c r="P29" t="str">
        <f t="shared" si="2"/>
        <v>'E-BOOK IPS: SOSIOLOGI SMA/MA KLS.10/KM/1TH',</v>
      </c>
      <c r="Q29" t="str">
        <f t="shared" si="3"/>
        <v>'E-BOOK_IPS:_SOSIOLOGI_SMA_MA_KLS_10_KM_1TH.jpg',</v>
      </c>
      <c r="R29" t="str">
        <f t="shared" si="4"/>
        <v>'app://ebook-erlangga/v1/0043010150',</v>
      </c>
      <c r="S29" t="str">
        <f t="shared" si="5"/>
        <v>'KUN MARYATI-JUJU SURYAWATI-NINA RATNA SUMINAR',</v>
      </c>
      <c r="T29" t="str">
        <f t="shared" si="6"/>
        <v>1,</v>
      </c>
      <c r="U29" t="str">
        <f t="shared" si="7"/>
        <v>91,</v>
      </c>
      <c r="V29" t="str">
        <f t="shared" si="8"/>
        <v>12,</v>
      </c>
      <c r="W29" t="str">
        <f t="shared" si="9"/>
        <v>10);</v>
      </c>
    </row>
    <row r="30" spans="1:23" x14ac:dyDescent="0.25">
      <c r="A30" t="s">
        <v>365</v>
      </c>
      <c r="B30" s="14" t="s">
        <v>146</v>
      </c>
      <c r="C30" s="2" t="s">
        <v>147</v>
      </c>
      <c r="D30" s="2" t="s">
        <v>245</v>
      </c>
      <c r="E30" s="2" t="s">
        <v>305</v>
      </c>
      <c r="F30" s="2" t="s">
        <v>148</v>
      </c>
      <c r="G30" s="2">
        <v>1</v>
      </c>
      <c r="H30" s="2">
        <v>91</v>
      </c>
      <c r="I30" s="2">
        <v>12</v>
      </c>
      <c r="J30" s="3" t="s">
        <v>76</v>
      </c>
      <c r="K30" s="3" t="s">
        <v>145</v>
      </c>
      <c r="L30" s="3">
        <v>10</v>
      </c>
      <c r="M30" t="s">
        <v>394</v>
      </c>
      <c r="N30" t="str">
        <f t="shared" si="0"/>
        <v>'B0000000000000007511',</v>
      </c>
      <c r="O30" t="str">
        <f t="shared" si="1"/>
        <v>'0043230410',</v>
      </c>
      <c r="P30" t="str">
        <f t="shared" si="2"/>
        <v>'E-BOOK PENDIDIKAN PANCASILA SMA/MA KLS.10/KM/1TH',</v>
      </c>
      <c r="Q30" t="str">
        <f t="shared" si="3"/>
        <v>'E-BOOK_PENDIDIKAN_PANCASILA_SMA_MA_KLS_10_KM_1TH.jpg',</v>
      </c>
      <c r="R30" t="str">
        <f t="shared" si="4"/>
        <v>'app://ebook-erlangga/v1/0043230410',</v>
      </c>
      <c r="S30" t="str">
        <f t="shared" si="5"/>
        <v>'YUYUS KARDIMAN, DKK',</v>
      </c>
      <c r="T30" t="str">
        <f t="shared" si="6"/>
        <v>1,</v>
      </c>
      <c r="U30" t="str">
        <f t="shared" si="7"/>
        <v>91,</v>
      </c>
      <c r="V30" t="str">
        <f t="shared" si="8"/>
        <v>12,</v>
      </c>
      <c r="W30" t="str">
        <f t="shared" si="9"/>
        <v>10);</v>
      </c>
    </row>
    <row r="31" spans="1:23" x14ac:dyDescent="0.25">
      <c r="A31" t="s">
        <v>366</v>
      </c>
      <c r="B31" s="14" t="s">
        <v>149</v>
      </c>
      <c r="C31" s="2" t="s">
        <v>150</v>
      </c>
      <c r="D31" s="2" t="s">
        <v>246</v>
      </c>
      <c r="E31" s="2" t="s">
        <v>306</v>
      </c>
      <c r="F31" s="2" t="s">
        <v>151</v>
      </c>
      <c r="G31" s="2">
        <v>1</v>
      </c>
      <c r="H31" s="2">
        <v>91</v>
      </c>
      <c r="I31" s="2">
        <v>12</v>
      </c>
      <c r="J31" s="3" t="s">
        <v>76</v>
      </c>
      <c r="K31" s="3" t="s">
        <v>145</v>
      </c>
      <c r="L31" s="3">
        <v>10</v>
      </c>
      <c r="M31" t="s">
        <v>394</v>
      </c>
      <c r="N31" t="str">
        <f t="shared" si="0"/>
        <v>'B0000000000000007512',</v>
      </c>
      <c r="O31" t="str">
        <f t="shared" si="1"/>
        <v>'0043300160',</v>
      </c>
      <c r="P31" t="str">
        <f t="shared" si="2"/>
        <v>'E-BOOK IPS: EKONOMI SMA/MA KLS.10/KM-REVISI/1TH',</v>
      </c>
      <c r="Q31" t="str">
        <f t="shared" si="3"/>
        <v>'E-BOOK_IPS:_EKONOMI_SMA_MA_KLS_10_KM-REVISI_1TH.jpg',</v>
      </c>
      <c r="R31" t="str">
        <f t="shared" si="4"/>
        <v>'app://ebook-erlangga/v1/0043300160',</v>
      </c>
      <c r="S31" t="str">
        <f t="shared" si="5"/>
        <v>'ALAM S.-ARISTANTI W.',</v>
      </c>
      <c r="T31" t="str">
        <f t="shared" si="6"/>
        <v>1,</v>
      </c>
      <c r="U31" t="str">
        <f t="shared" si="7"/>
        <v>91,</v>
      </c>
      <c r="V31" t="str">
        <f t="shared" si="8"/>
        <v>12,</v>
      </c>
      <c r="W31" t="str">
        <f t="shared" si="9"/>
        <v>10);</v>
      </c>
    </row>
    <row r="32" spans="1:23" x14ac:dyDescent="0.25">
      <c r="A32" t="s">
        <v>367</v>
      </c>
      <c r="B32" s="14" t="s">
        <v>152</v>
      </c>
      <c r="C32" s="2" t="s">
        <v>153</v>
      </c>
      <c r="D32" s="2" t="s">
        <v>247</v>
      </c>
      <c r="E32" s="2" t="s">
        <v>307</v>
      </c>
      <c r="F32" s="2" t="s">
        <v>154</v>
      </c>
      <c r="G32" s="2">
        <v>1</v>
      </c>
      <c r="H32" s="2">
        <v>91</v>
      </c>
      <c r="I32" s="2">
        <v>12</v>
      </c>
      <c r="J32" s="3" t="s">
        <v>76</v>
      </c>
      <c r="K32" s="3" t="s">
        <v>145</v>
      </c>
      <c r="L32" s="3">
        <v>10</v>
      </c>
      <c r="M32" t="s">
        <v>394</v>
      </c>
      <c r="N32" t="str">
        <f t="shared" si="0"/>
        <v>'B0000000000000007513',</v>
      </c>
      <c r="O32" t="str">
        <f t="shared" si="1"/>
        <v>'0044200450',</v>
      </c>
      <c r="P32" t="str">
        <f t="shared" si="2"/>
        <v>'E-BOOK PATHWAY TO ENGLISH SMA/MA JL.1/KM/1TH',</v>
      </c>
      <c r="Q32" t="str">
        <f t="shared" si="3"/>
        <v>'E-BOOK_PATHWAY_TO_ENGLISH_SMA_MA_JL_1_KM_1TH.jpg',</v>
      </c>
      <c r="R32" t="str">
        <f t="shared" si="4"/>
        <v>'app://ebook-erlangga/v1/0044200450',</v>
      </c>
      <c r="S32" t="str">
        <f t="shared" si="5"/>
        <v>'TH. SUDARWATI-EUDIA GRACE',</v>
      </c>
      <c r="T32" t="str">
        <f t="shared" si="6"/>
        <v>1,</v>
      </c>
      <c r="U32" t="str">
        <f t="shared" si="7"/>
        <v>91,</v>
      </c>
      <c r="V32" t="str">
        <f t="shared" si="8"/>
        <v>12,</v>
      </c>
      <c r="W32" t="str">
        <f t="shared" si="9"/>
        <v>10);</v>
      </c>
    </row>
    <row r="33" spans="1:23" x14ac:dyDescent="0.25">
      <c r="A33" t="s">
        <v>368</v>
      </c>
      <c r="B33" s="14" t="s">
        <v>155</v>
      </c>
      <c r="C33" s="2" t="s">
        <v>156</v>
      </c>
      <c r="D33" s="2" t="s">
        <v>248</v>
      </c>
      <c r="E33" s="2" t="s">
        <v>308</v>
      </c>
      <c r="F33" s="2" t="s">
        <v>86</v>
      </c>
      <c r="G33" s="2">
        <v>1</v>
      </c>
      <c r="H33" s="2">
        <v>91</v>
      </c>
      <c r="I33" s="2">
        <v>12</v>
      </c>
      <c r="J33" s="3" t="s">
        <v>76</v>
      </c>
      <c r="K33" s="3" t="s">
        <v>145</v>
      </c>
      <c r="L33" s="3">
        <v>10</v>
      </c>
      <c r="M33" t="s">
        <v>394</v>
      </c>
      <c r="N33" t="str">
        <f t="shared" si="0"/>
        <v>'B0000000000000007514',</v>
      </c>
      <c r="O33" t="str">
        <f t="shared" si="1"/>
        <v>'0044900650',</v>
      </c>
      <c r="P33" t="str">
        <f t="shared" si="2"/>
        <v>'E-BOOK KOMPETEN BERBHS INDONESIA SMA/MA KLS.10/KM/1TH',</v>
      </c>
      <c r="Q33" t="str">
        <f t="shared" si="3"/>
        <v>'E-BOOK_KOMPETEN_BERBHS_INDONESIA_SMA_MA_KLS_10_KM_1TH.jpg',</v>
      </c>
      <c r="R33" t="str">
        <f t="shared" si="4"/>
        <v>'app://ebook-erlangga/v1/0044900650',</v>
      </c>
      <c r="S33" t="str">
        <f t="shared" si="5"/>
        <v>'TIM EDUKATIF',</v>
      </c>
      <c r="T33" t="str">
        <f t="shared" si="6"/>
        <v>1,</v>
      </c>
      <c r="U33" t="str">
        <f t="shared" si="7"/>
        <v>91,</v>
      </c>
      <c r="V33" t="str">
        <f t="shared" si="8"/>
        <v>12,</v>
      </c>
      <c r="W33" t="str">
        <f t="shared" si="9"/>
        <v>10);</v>
      </c>
    </row>
    <row r="34" spans="1:23" x14ac:dyDescent="0.25">
      <c r="A34" t="s">
        <v>369</v>
      </c>
      <c r="B34" s="14" t="s">
        <v>157</v>
      </c>
      <c r="C34" s="2" t="s">
        <v>158</v>
      </c>
      <c r="D34" s="2" t="s">
        <v>249</v>
      </c>
      <c r="E34" s="2" t="s">
        <v>309</v>
      </c>
      <c r="F34" s="2" t="s">
        <v>159</v>
      </c>
      <c r="G34" s="2">
        <v>1</v>
      </c>
      <c r="H34" s="2">
        <v>91</v>
      </c>
      <c r="I34" s="2">
        <v>12</v>
      </c>
      <c r="J34" s="3" t="s">
        <v>76</v>
      </c>
      <c r="K34" s="3" t="s">
        <v>145</v>
      </c>
      <c r="L34" s="3">
        <v>10</v>
      </c>
      <c r="M34" t="s">
        <v>394</v>
      </c>
      <c r="N34" t="str">
        <f t="shared" si="0"/>
        <v>'B0000000000000007515',</v>
      </c>
      <c r="O34" t="str">
        <f t="shared" si="1"/>
        <v>'0045100250',</v>
      </c>
      <c r="P34" t="str">
        <f t="shared" si="2"/>
        <v>'E-BOOK MATEMATIKA SMA/MA KLS.10/KM/1TH',</v>
      </c>
      <c r="Q34" t="str">
        <f t="shared" si="3"/>
        <v>'E-BOOK_MATEMATIKA_SMA_MA_KLS_10_KM_1TH.jpg',</v>
      </c>
      <c r="R34" t="str">
        <f t="shared" si="4"/>
        <v>'app://ebook-erlangga/v1/0045100250',</v>
      </c>
      <c r="S34" t="str">
        <f t="shared" si="5"/>
        <v>'B.K. NOORMANDIRI',</v>
      </c>
      <c r="T34" t="str">
        <f t="shared" si="6"/>
        <v>1,</v>
      </c>
      <c r="U34" t="str">
        <f t="shared" si="7"/>
        <v>91,</v>
      </c>
      <c r="V34" t="str">
        <f t="shared" si="8"/>
        <v>12,</v>
      </c>
      <c r="W34" t="str">
        <f t="shared" si="9"/>
        <v>10);</v>
      </c>
    </row>
    <row r="35" spans="1:23" x14ac:dyDescent="0.25">
      <c r="A35" t="s">
        <v>370</v>
      </c>
      <c r="B35" s="14" t="s">
        <v>160</v>
      </c>
      <c r="C35" s="2" t="s">
        <v>161</v>
      </c>
      <c r="D35" s="2" t="s">
        <v>250</v>
      </c>
      <c r="E35" s="2" t="s">
        <v>310</v>
      </c>
      <c r="F35" s="2" t="s">
        <v>162</v>
      </c>
      <c r="G35" s="2">
        <v>1</v>
      </c>
      <c r="H35" s="2">
        <v>91</v>
      </c>
      <c r="I35" s="2">
        <v>12</v>
      </c>
      <c r="J35" s="3" t="s">
        <v>76</v>
      </c>
      <c r="K35" s="3" t="s">
        <v>145</v>
      </c>
      <c r="L35" s="3">
        <v>10</v>
      </c>
      <c r="M35" t="s">
        <v>394</v>
      </c>
      <c r="N35" t="str">
        <f t="shared" si="0"/>
        <v>'B0000000000000007516',</v>
      </c>
      <c r="O35" t="str">
        <f t="shared" si="1"/>
        <v>'0045300260',</v>
      </c>
      <c r="P35" t="str">
        <f t="shared" si="2"/>
        <v>'E-BOOK IPA FISIKA SMA/MA KLS.10/KM/1TH',</v>
      </c>
      <c r="Q35" t="str">
        <f t="shared" si="3"/>
        <v>'E-BOOK_IPA_FISIKA_SMA_MA_KLS_10_KM_1TH.jpg',</v>
      </c>
      <c r="R35" t="str">
        <f t="shared" si="4"/>
        <v>'app://ebook-erlangga/v1/0045300260',</v>
      </c>
      <c r="S35" t="str">
        <f t="shared" si="5"/>
        <v>'NI KETUT LASMI',</v>
      </c>
      <c r="T35" t="str">
        <f t="shared" si="6"/>
        <v>1,</v>
      </c>
      <c r="U35" t="str">
        <f t="shared" si="7"/>
        <v>91,</v>
      </c>
      <c r="V35" t="str">
        <f t="shared" si="8"/>
        <v>12,</v>
      </c>
      <c r="W35" t="str">
        <f t="shared" si="9"/>
        <v>10);</v>
      </c>
    </row>
    <row r="36" spans="1:23" x14ac:dyDescent="0.25">
      <c r="A36" t="s">
        <v>371</v>
      </c>
      <c r="B36" s="14" t="s">
        <v>163</v>
      </c>
      <c r="C36" s="2" t="s">
        <v>164</v>
      </c>
      <c r="D36" s="2" t="s">
        <v>251</v>
      </c>
      <c r="E36" s="2" t="s">
        <v>311</v>
      </c>
      <c r="F36" s="2" t="s">
        <v>165</v>
      </c>
      <c r="G36" s="2">
        <v>1</v>
      </c>
      <c r="H36" s="2">
        <v>91</v>
      </c>
      <c r="I36" s="2">
        <v>12</v>
      </c>
      <c r="J36" s="3" t="s">
        <v>76</v>
      </c>
      <c r="K36" s="3" t="s">
        <v>145</v>
      </c>
      <c r="L36" s="3">
        <v>10</v>
      </c>
      <c r="M36" t="s">
        <v>394</v>
      </c>
      <c r="N36" t="str">
        <f t="shared" si="0"/>
        <v>'B0000000000000007517',</v>
      </c>
      <c r="O36" t="str">
        <f t="shared" si="1"/>
        <v>'0045400760',</v>
      </c>
      <c r="P36" t="str">
        <f t="shared" si="2"/>
        <v>'E-BOOK IPA KIMIA SMA/MA KLS.10/KM/1TH',</v>
      </c>
      <c r="Q36" t="str">
        <f t="shared" si="3"/>
        <v>'E-BOOK_IPA_KIMIA_SMA_MA_KLS_10_KM_1TH.jpg',</v>
      </c>
      <c r="R36" t="str">
        <f t="shared" si="4"/>
        <v>'app://ebook-erlangga/v1/0045400760',</v>
      </c>
      <c r="S36" t="str">
        <f t="shared" si="5"/>
        <v>'UNGGUL SUDARMO',</v>
      </c>
      <c r="T36" t="str">
        <f t="shared" si="6"/>
        <v>1,</v>
      </c>
      <c r="U36" t="str">
        <f t="shared" si="7"/>
        <v>91,</v>
      </c>
      <c r="V36" t="str">
        <f t="shared" si="8"/>
        <v>12,</v>
      </c>
      <c r="W36" t="str">
        <f t="shared" si="9"/>
        <v>10);</v>
      </c>
    </row>
    <row r="37" spans="1:23" x14ac:dyDescent="0.25">
      <c r="A37" t="s">
        <v>372</v>
      </c>
      <c r="B37" s="14" t="s">
        <v>166</v>
      </c>
      <c r="C37" s="2" t="s">
        <v>167</v>
      </c>
      <c r="D37" s="2" t="s">
        <v>252</v>
      </c>
      <c r="E37" s="2" t="s">
        <v>312</v>
      </c>
      <c r="F37" s="2" t="s">
        <v>168</v>
      </c>
      <c r="G37" s="2">
        <v>1</v>
      </c>
      <c r="H37" s="2">
        <v>91</v>
      </c>
      <c r="I37" s="2">
        <v>12</v>
      </c>
      <c r="J37" s="3" t="s">
        <v>76</v>
      </c>
      <c r="K37" s="3" t="s">
        <v>145</v>
      </c>
      <c r="L37" s="3">
        <v>10</v>
      </c>
      <c r="M37" t="s">
        <v>394</v>
      </c>
      <c r="N37" t="str">
        <f t="shared" si="0"/>
        <v>'B0000000000000007518',</v>
      </c>
      <c r="O37" t="str">
        <f t="shared" si="1"/>
        <v>'0045700500',</v>
      </c>
      <c r="P37" t="str">
        <f t="shared" si="2"/>
        <v>'E-BOOK IPA BIOLOGI SMA/MA KLS.10/KM/1TH',</v>
      </c>
      <c r="Q37" t="str">
        <f t="shared" si="3"/>
        <v>'E-BOOK_IPA_BIOLOGI_SMA_MA_KLS_10_KM_1TH.jpg',</v>
      </c>
      <c r="R37" t="str">
        <f t="shared" si="4"/>
        <v>'app://ebook-erlangga/v1/0045700500',</v>
      </c>
      <c r="S37" t="str">
        <f t="shared" si="5"/>
        <v>'IRNANINGTYAS-SYLVA SAGITA',</v>
      </c>
      <c r="T37" t="str">
        <f t="shared" si="6"/>
        <v>1,</v>
      </c>
      <c r="U37" t="str">
        <f t="shared" si="7"/>
        <v>91,</v>
      </c>
      <c r="V37" t="str">
        <f t="shared" si="8"/>
        <v>12,</v>
      </c>
      <c r="W37" t="str">
        <f t="shared" si="9"/>
        <v>10);</v>
      </c>
    </row>
    <row r="38" spans="1:23" x14ac:dyDescent="0.25">
      <c r="A38" t="s">
        <v>373</v>
      </c>
      <c r="B38" s="14" t="s">
        <v>169</v>
      </c>
      <c r="C38" s="2" t="s">
        <v>170</v>
      </c>
      <c r="D38" s="2" t="s">
        <v>253</v>
      </c>
      <c r="E38" s="2" t="s">
        <v>313</v>
      </c>
      <c r="F38" s="2" t="s">
        <v>171</v>
      </c>
      <c r="G38" s="2">
        <v>1</v>
      </c>
      <c r="H38" s="2">
        <v>91</v>
      </c>
      <c r="I38" s="2">
        <v>12</v>
      </c>
      <c r="J38" s="3" t="s">
        <v>76</v>
      </c>
      <c r="K38" s="3" t="s">
        <v>145</v>
      </c>
      <c r="L38" s="3">
        <v>10</v>
      </c>
      <c r="M38" t="s">
        <v>394</v>
      </c>
      <c r="N38" t="str">
        <f t="shared" si="0"/>
        <v>'B0000000000000007519',</v>
      </c>
      <c r="O38" t="str">
        <f t="shared" si="1"/>
        <v>'0049000350',</v>
      </c>
      <c r="P38" t="str">
        <f t="shared" si="2"/>
        <v>'E-BOOK IPS: GEOGRAFI SMA/MA KLS.10/KM/1TH',</v>
      </c>
      <c r="Q38" t="str">
        <f t="shared" si="3"/>
        <v>'E-BOOK_IPS:_GEOGRAFI_SMA_MA_KLS_10_KM_1TH.jpg',</v>
      </c>
      <c r="R38" t="str">
        <f t="shared" si="4"/>
        <v>'app://ebook-erlangga/v1/0049000350',</v>
      </c>
      <c r="S38" t="str">
        <f t="shared" si="5"/>
        <v>'YASINTO SINDHU PRIASTOMO',</v>
      </c>
      <c r="T38" t="str">
        <f t="shared" si="6"/>
        <v>1,</v>
      </c>
      <c r="U38" t="str">
        <f t="shared" si="7"/>
        <v>91,</v>
      </c>
      <c r="V38" t="str">
        <f t="shared" si="8"/>
        <v>12,</v>
      </c>
      <c r="W38" t="str">
        <f t="shared" si="9"/>
        <v>10);</v>
      </c>
    </row>
    <row r="39" spans="1:23" x14ac:dyDescent="0.25">
      <c r="A39" t="s">
        <v>374</v>
      </c>
      <c r="B39" s="14" t="s">
        <v>172</v>
      </c>
      <c r="C39" s="2" t="s">
        <v>173</v>
      </c>
      <c r="D39" s="2" t="s">
        <v>254</v>
      </c>
      <c r="E39" s="2" t="s">
        <v>314</v>
      </c>
      <c r="F39" s="2" t="s">
        <v>144</v>
      </c>
      <c r="G39" s="2">
        <v>1</v>
      </c>
      <c r="H39" s="2">
        <v>91</v>
      </c>
      <c r="I39" s="2">
        <v>12</v>
      </c>
      <c r="J39" s="3" t="s">
        <v>76</v>
      </c>
      <c r="K39" s="3" t="s">
        <v>145</v>
      </c>
      <c r="L39" s="3">
        <v>11</v>
      </c>
      <c r="M39" t="s">
        <v>394</v>
      </c>
      <c r="N39" t="str">
        <f t="shared" si="0"/>
        <v>'B0000000000000007520',</v>
      </c>
      <c r="O39" t="str">
        <f t="shared" si="1"/>
        <v>'0043010520',</v>
      </c>
      <c r="P39" t="str">
        <f t="shared" si="2"/>
        <v>'E-BOOK SOSIOLOGI SMA/MA KLS.11/KM/1TH',</v>
      </c>
      <c r="Q39" t="str">
        <f t="shared" si="3"/>
        <v>'E-BOOK_SOSIOLOGI_SMA_MA_KLS_11_KM_1TH.jpg',</v>
      </c>
      <c r="R39" t="str">
        <f t="shared" si="4"/>
        <v>'app://ebook-erlangga/v1/0043010520',</v>
      </c>
      <c r="S39" t="str">
        <f t="shared" si="5"/>
        <v>'KUN MARYATI-JUJU SURYAWATI-NINA RATNA SUMINAR',</v>
      </c>
      <c r="T39" t="str">
        <f t="shared" si="6"/>
        <v>1,</v>
      </c>
      <c r="U39" t="str">
        <f t="shared" si="7"/>
        <v>91,</v>
      </c>
      <c r="V39" t="str">
        <f t="shared" si="8"/>
        <v>12,</v>
      </c>
      <c r="W39" t="str">
        <f t="shared" si="9"/>
        <v>11);</v>
      </c>
    </row>
    <row r="40" spans="1:23" x14ac:dyDescent="0.25">
      <c r="A40" t="s">
        <v>375</v>
      </c>
      <c r="B40" s="14" t="s">
        <v>174</v>
      </c>
      <c r="C40" s="2" t="s">
        <v>175</v>
      </c>
      <c r="D40" s="2" t="s">
        <v>255</v>
      </c>
      <c r="E40" s="2" t="s">
        <v>315</v>
      </c>
      <c r="F40" s="2" t="s">
        <v>151</v>
      </c>
      <c r="G40" s="2">
        <v>1</v>
      </c>
      <c r="H40" s="2">
        <v>91</v>
      </c>
      <c r="I40" s="2">
        <v>12</v>
      </c>
      <c r="J40" s="3" t="s">
        <v>76</v>
      </c>
      <c r="K40" s="3" t="s">
        <v>145</v>
      </c>
      <c r="L40" s="3">
        <v>11</v>
      </c>
      <c r="M40" t="s">
        <v>394</v>
      </c>
      <c r="N40" t="str">
        <f t="shared" si="0"/>
        <v>'B0000000000000007521',</v>
      </c>
      <c r="O40" t="str">
        <f t="shared" si="1"/>
        <v>'0043300200',</v>
      </c>
      <c r="P40" t="str">
        <f t="shared" si="2"/>
        <v>'E-BOOK EKONOMI SMA/MA KLS.11/KM/1TH',</v>
      </c>
      <c r="Q40" t="str">
        <f t="shared" si="3"/>
        <v>'E-BOOK_EKONOMI_SMA_MA_KLS_11_KM_1TH.jpg',</v>
      </c>
      <c r="R40" t="str">
        <f t="shared" si="4"/>
        <v>'app://ebook-erlangga/v1/0043300200',</v>
      </c>
      <c r="S40" t="str">
        <f t="shared" si="5"/>
        <v>'ALAM S.-ARISTANTI W.',</v>
      </c>
      <c r="T40" t="str">
        <f t="shared" si="6"/>
        <v>1,</v>
      </c>
      <c r="U40" t="str">
        <f t="shared" si="7"/>
        <v>91,</v>
      </c>
      <c r="V40" t="str">
        <f t="shared" si="8"/>
        <v>12,</v>
      </c>
      <c r="W40" t="str">
        <f t="shared" si="9"/>
        <v>11);</v>
      </c>
    </row>
    <row r="41" spans="1:23" x14ac:dyDescent="0.25">
      <c r="A41" t="s">
        <v>376</v>
      </c>
      <c r="B41" s="14" t="s">
        <v>176</v>
      </c>
      <c r="C41" s="2" t="s">
        <v>177</v>
      </c>
      <c r="D41" s="2" t="s">
        <v>256</v>
      </c>
      <c r="E41" s="2" t="s">
        <v>316</v>
      </c>
      <c r="F41" s="2" t="s">
        <v>86</v>
      </c>
      <c r="G41" s="2">
        <v>1</v>
      </c>
      <c r="H41" s="2">
        <v>91</v>
      </c>
      <c r="I41" s="2">
        <v>12</v>
      </c>
      <c r="J41" s="3" t="s">
        <v>76</v>
      </c>
      <c r="K41" s="3" t="s">
        <v>145</v>
      </c>
      <c r="L41" s="3">
        <v>11</v>
      </c>
      <c r="M41" t="s">
        <v>394</v>
      </c>
      <c r="N41" t="str">
        <f t="shared" si="0"/>
        <v>'B0000000000000007522',</v>
      </c>
      <c r="O41" t="str">
        <f t="shared" si="1"/>
        <v>'0044900290',</v>
      </c>
      <c r="P41" t="str">
        <f t="shared" si="2"/>
        <v>'E-BOOK KOMPETEN BERBHS INDONESIA SMA/MA KLS.11/KM/1TH',</v>
      </c>
      <c r="Q41" t="str">
        <f t="shared" si="3"/>
        <v>'E-BOOK_KOMPETEN_BERBHS_INDONESIA_SMA_MA_KLS_11_KM_1TH.jpg',</v>
      </c>
      <c r="R41" t="str">
        <f t="shared" si="4"/>
        <v>'app://ebook-erlangga/v1/0044900290',</v>
      </c>
      <c r="S41" t="str">
        <f t="shared" si="5"/>
        <v>'TIM EDUKATIF',</v>
      </c>
      <c r="T41" t="str">
        <f t="shared" si="6"/>
        <v>1,</v>
      </c>
      <c r="U41" t="str">
        <f t="shared" si="7"/>
        <v>91,</v>
      </c>
      <c r="V41" t="str">
        <f t="shared" si="8"/>
        <v>12,</v>
      </c>
      <c r="W41" t="str">
        <f t="shared" si="9"/>
        <v>11);</v>
      </c>
    </row>
    <row r="42" spans="1:23" x14ac:dyDescent="0.25">
      <c r="A42" t="s">
        <v>377</v>
      </c>
      <c r="B42" s="14" t="s">
        <v>178</v>
      </c>
      <c r="C42" s="2" t="s">
        <v>179</v>
      </c>
      <c r="D42" s="2" t="s">
        <v>257</v>
      </c>
      <c r="E42" s="2" t="s">
        <v>317</v>
      </c>
      <c r="F42" s="2" t="s">
        <v>171</v>
      </c>
      <c r="G42" s="2">
        <v>1</v>
      </c>
      <c r="H42" s="2">
        <v>91</v>
      </c>
      <c r="I42" s="2">
        <v>12</v>
      </c>
      <c r="J42" s="3" t="s">
        <v>76</v>
      </c>
      <c r="K42" s="3" t="s">
        <v>145</v>
      </c>
      <c r="L42" s="3">
        <v>11</v>
      </c>
      <c r="M42" t="s">
        <v>394</v>
      </c>
      <c r="N42" t="str">
        <f t="shared" si="0"/>
        <v>'B0000000000000007523',</v>
      </c>
      <c r="O42" t="str">
        <f t="shared" si="1"/>
        <v>'0049000360',</v>
      </c>
      <c r="P42" t="str">
        <f t="shared" si="2"/>
        <v>'E-BOOK GEOGRAFI SMA/MA KLS.11/KM/1TH',</v>
      </c>
      <c r="Q42" t="str">
        <f t="shared" si="3"/>
        <v>'E-BOOK_GEOGRAFI_SMA_MA_KLS_11_KM_1TH.jpg',</v>
      </c>
      <c r="R42" t="str">
        <f t="shared" si="4"/>
        <v>'app://ebook-erlangga/v1/0049000360',</v>
      </c>
      <c r="S42" t="str">
        <f t="shared" si="5"/>
        <v>'YASINTO SINDHU PRIASTOMO',</v>
      </c>
      <c r="T42" t="str">
        <f t="shared" si="6"/>
        <v>1,</v>
      </c>
      <c r="U42" t="str">
        <f t="shared" si="7"/>
        <v>91,</v>
      </c>
      <c r="V42" t="str">
        <f t="shared" si="8"/>
        <v>12,</v>
      </c>
      <c r="W42" t="str">
        <f t="shared" si="9"/>
        <v>11);</v>
      </c>
    </row>
    <row r="43" spans="1:23" x14ac:dyDescent="0.25">
      <c r="A43" t="s">
        <v>378</v>
      </c>
      <c r="B43" s="14" t="s">
        <v>180</v>
      </c>
      <c r="C43" s="2" t="s">
        <v>181</v>
      </c>
      <c r="D43" s="2" t="s">
        <v>258</v>
      </c>
      <c r="E43" s="2" t="s">
        <v>318</v>
      </c>
      <c r="F43" s="2" t="s">
        <v>182</v>
      </c>
      <c r="G43" s="2">
        <v>1</v>
      </c>
      <c r="H43" s="2">
        <v>91</v>
      </c>
      <c r="I43" s="2">
        <v>12</v>
      </c>
      <c r="J43" s="3" t="s">
        <v>76</v>
      </c>
      <c r="K43" s="3" t="s">
        <v>145</v>
      </c>
      <c r="L43" s="3">
        <v>11</v>
      </c>
      <c r="M43" t="s">
        <v>394</v>
      </c>
      <c r="N43" t="str">
        <f t="shared" si="0"/>
        <v>'B0000000000000007524',</v>
      </c>
      <c r="O43" t="str">
        <f t="shared" si="1"/>
        <v>'0049070270',</v>
      </c>
      <c r="P43" t="str">
        <f t="shared" si="2"/>
        <v>'E-BOOK SEJARAH SMA/MA KLS.11/KM/1TH',</v>
      </c>
      <c r="Q43" t="str">
        <f t="shared" si="3"/>
        <v>'E-BOOK_SEJARAH_SMA_MA_KLS_11_KM_1TH.jpg',</v>
      </c>
      <c r="R43" t="str">
        <f t="shared" si="4"/>
        <v>'app://ebook-erlangga/v1/0049070270',</v>
      </c>
      <c r="S43" t="str">
        <f t="shared" si="5"/>
        <v>'RATNA HAPSARI-M. ADIL',</v>
      </c>
      <c r="T43" t="str">
        <f t="shared" si="6"/>
        <v>1,</v>
      </c>
      <c r="U43" t="str">
        <f t="shared" si="7"/>
        <v>91,</v>
      </c>
      <c r="V43" t="str">
        <f t="shared" si="8"/>
        <v>12,</v>
      </c>
      <c r="W43" t="str">
        <f t="shared" si="9"/>
        <v>11);</v>
      </c>
    </row>
    <row r="44" spans="1:23" x14ac:dyDescent="0.25">
      <c r="A44" t="s">
        <v>379</v>
      </c>
      <c r="B44" s="14" t="s">
        <v>183</v>
      </c>
      <c r="C44" s="2" t="s">
        <v>184</v>
      </c>
      <c r="D44" s="2" t="s">
        <v>259</v>
      </c>
      <c r="E44" s="2" t="s">
        <v>319</v>
      </c>
      <c r="F44" s="2" t="s">
        <v>159</v>
      </c>
      <c r="G44" s="2">
        <v>1</v>
      </c>
      <c r="H44" s="2">
        <v>91</v>
      </c>
      <c r="I44" s="2">
        <v>12</v>
      </c>
      <c r="J44" s="3" t="s">
        <v>76</v>
      </c>
      <c r="K44" s="3" t="s">
        <v>145</v>
      </c>
      <c r="L44" s="3">
        <v>11</v>
      </c>
      <c r="M44" t="s">
        <v>394</v>
      </c>
      <c r="N44" t="str">
        <f t="shared" si="0"/>
        <v>'B0000000000000007525',</v>
      </c>
      <c r="O44" t="str">
        <f t="shared" si="1"/>
        <v>'0045101300',</v>
      </c>
      <c r="P44" t="str">
        <f t="shared" si="2"/>
        <v>'E-BOOK MATEMATIKA SMA/MA KLS.11/KM/1TH',</v>
      </c>
      <c r="Q44" t="str">
        <f t="shared" si="3"/>
        <v>'E-BOOK_MATEMATIKA_SMA_MA_KLS_11_KM_1TH.jpg',</v>
      </c>
      <c r="R44" t="str">
        <f t="shared" si="4"/>
        <v>'app://ebook-erlangga/v1/0045101300',</v>
      </c>
      <c r="S44" t="str">
        <f t="shared" si="5"/>
        <v>'B.K. NOORMANDIRI',</v>
      </c>
      <c r="T44" t="str">
        <f t="shared" si="6"/>
        <v>1,</v>
      </c>
      <c r="U44" t="str">
        <f t="shared" si="7"/>
        <v>91,</v>
      </c>
      <c r="V44" t="str">
        <f t="shared" si="8"/>
        <v>12,</v>
      </c>
      <c r="W44" t="str">
        <f t="shared" si="9"/>
        <v>11);</v>
      </c>
    </row>
    <row r="45" spans="1:23" x14ac:dyDescent="0.25">
      <c r="A45" t="s">
        <v>380</v>
      </c>
      <c r="B45" s="14" t="s">
        <v>185</v>
      </c>
      <c r="C45" s="2" t="s">
        <v>186</v>
      </c>
      <c r="D45" s="2" t="s">
        <v>260</v>
      </c>
      <c r="E45" s="2" t="s">
        <v>320</v>
      </c>
      <c r="F45" s="2" t="s">
        <v>159</v>
      </c>
      <c r="G45" s="2">
        <v>1</v>
      </c>
      <c r="H45" s="2">
        <v>91</v>
      </c>
      <c r="I45" s="2">
        <v>12</v>
      </c>
      <c r="J45" s="3" t="s">
        <v>76</v>
      </c>
      <c r="K45" s="3" t="s">
        <v>145</v>
      </c>
      <c r="L45" s="3">
        <v>11</v>
      </c>
      <c r="M45" t="s">
        <v>394</v>
      </c>
      <c r="N45" t="str">
        <f t="shared" si="0"/>
        <v>'B0000000000000007526',</v>
      </c>
      <c r="O45" t="str">
        <f t="shared" si="1"/>
        <v>'0045101370',</v>
      </c>
      <c r="P45" t="str">
        <f t="shared" si="2"/>
        <v>'E-BOOK MATEMATIKA TK LANJUT SMA/MA KLS.11/KM/1TH',</v>
      </c>
      <c r="Q45" t="str">
        <f t="shared" si="3"/>
        <v>'E-BOOK_MATEMATIKA_TK_LANJUT_SMA_MA_KLS_11_KM_1TH.jpg',</v>
      </c>
      <c r="R45" t="str">
        <f t="shared" si="4"/>
        <v>'app://ebook-erlangga/v1/0045101370',</v>
      </c>
      <c r="S45" t="str">
        <f t="shared" si="5"/>
        <v>'B.K. NOORMANDIRI',</v>
      </c>
      <c r="T45" t="str">
        <f t="shared" si="6"/>
        <v>1,</v>
      </c>
      <c r="U45" t="str">
        <f t="shared" si="7"/>
        <v>91,</v>
      </c>
      <c r="V45" t="str">
        <f t="shared" si="8"/>
        <v>12,</v>
      </c>
      <c r="W45" t="str">
        <f t="shared" si="9"/>
        <v>11);</v>
      </c>
    </row>
    <row r="46" spans="1:23" x14ac:dyDescent="0.25">
      <c r="A46" t="s">
        <v>381</v>
      </c>
      <c r="B46" s="14" t="s">
        <v>187</v>
      </c>
      <c r="C46" s="2" t="s">
        <v>188</v>
      </c>
      <c r="D46" s="2" t="s">
        <v>261</v>
      </c>
      <c r="E46" s="2" t="s">
        <v>321</v>
      </c>
      <c r="F46" s="2" t="s">
        <v>162</v>
      </c>
      <c r="G46" s="2">
        <v>1</v>
      </c>
      <c r="H46" s="2">
        <v>91</v>
      </c>
      <c r="I46" s="2">
        <v>12</v>
      </c>
      <c r="J46" s="3" t="s">
        <v>76</v>
      </c>
      <c r="K46" s="3" t="s">
        <v>145</v>
      </c>
      <c r="L46" s="3">
        <v>11</v>
      </c>
      <c r="M46" t="s">
        <v>394</v>
      </c>
      <c r="N46" t="str">
        <f t="shared" si="0"/>
        <v>'B0000000000000007527',</v>
      </c>
      <c r="O46" t="str">
        <f t="shared" si="1"/>
        <v>'0045300920',</v>
      </c>
      <c r="P46" t="str">
        <f t="shared" si="2"/>
        <v>'E-BOOK FISIKA SMA/MA KLS.11/KM/1TH',</v>
      </c>
      <c r="Q46" t="str">
        <f t="shared" si="3"/>
        <v>'E-BOOK_FISIKA_SMA_MA_KLS_11_KM_1TH.jpg',</v>
      </c>
      <c r="R46" t="str">
        <f t="shared" si="4"/>
        <v>'app://ebook-erlangga/v1/0045300920',</v>
      </c>
      <c r="S46" t="str">
        <f t="shared" si="5"/>
        <v>'NI KETUT LASMI',</v>
      </c>
      <c r="T46" t="str">
        <f t="shared" si="6"/>
        <v>1,</v>
      </c>
      <c r="U46" t="str">
        <f t="shared" si="7"/>
        <v>91,</v>
      </c>
      <c r="V46" t="str">
        <f t="shared" si="8"/>
        <v>12,</v>
      </c>
      <c r="W46" t="str">
        <f t="shared" si="9"/>
        <v>11);</v>
      </c>
    </row>
    <row r="47" spans="1:23" x14ac:dyDescent="0.25">
      <c r="A47" t="s">
        <v>382</v>
      </c>
      <c r="B47" s="14" t="s">
        <v>189</v>
      </c>
      <c r="C47" s="2" t="s">
        <v>190</v>
      </c>
      <c r="D47" s="2" t="s">
        <v>262</v>
      </c>
      <c r="E47" s="2" t="s">
        <v>322</v>
      </c>
      <c r="F47" s="2" t="s">
        <v>165</v>
      </c>
      <c r="G47" s="2">
        <v>1</v>
      </c>
      <c r="H47" s="2">
        <v>91</v>
      </c>
      <c r="I47" s="2">
        <v>12</v>
      </c>
      <c r="J47" s="3" t="s">
        <v>76</v>
      </c>
      <c r="K47" s="3" t="s">
        <v>145</v>
      </c>
      <c r="L47" s="3">
        <v>11</v>
      </c>
      <c r="M47" t="s">
        <v>394</v>
      </c>
      <c r="N47" t="str">
        <f t="shared" si="0"/>
        <v>'B0000000000000007528',</v>
      </c>
      <c r="O47" t="str">
        <f t="shared" si="1"/>
        <v>'0045400770',</v>
      </c>
      <c r="P47" t="str">
        <f t="shared" si="2"/>
        <v>'E-BOOK KIMIA SMA/MA KLS.11/KM/1TH',</v>
      </c>
      <c r="Q47" t="str">
        <f t="shared" si="3"/>
        <v>'E-BOOK_KIMIA_SMA_MA_KLS_11_KM_1TH.jpg',</v>
      </c>
      <c r="R47" t="str">
        <f t="shared" si="4"/>
        <v>'app://ebook-erlangga/v1/0045400770',</v>
      </c>
      <c r="S47" t="str">
        <f t="shared" si="5"/>
        <v>'UNGGUL SUDARMO',</v>
      </c>
      <c r="T47" t="str">
        <f t="shared" si="6"/>
        <v>1,</v>
      </c>
      <c r="U47" t="str">
        <f t="shared" si="7"/>
        <v>91,</v>
      </c>
      <c r="V47" t="str">
        <f t="shared" si="8"/>
        <v>12,</v>
      </c>
      <c r="W47" t="str">
        <f t="shared" si="9"/>
        <v>11);</v>
      </c>
    </row>
    <row r="48" spans="1:23" x14ac:dyDescent="0.25">
      <c r="A48" t="s">
        <v>383</v>
      </c>
      <c r="B48" s="14" t="s">
        <v>191</v>
      </c>
      <c r="C48" s="2" t="s">
        <v>192</v>
      </c>
      <c r="D48" s="2" t="s">
        <v>263</v>
      </c>
      <c r="E48" s="2" t="s">
        <v>323</v>
      </c>
      <c r="F48" s="2" t="s">
        <v>168</v>
      </c>
      <c r="G48" s="2">
        <v>1</v>
      </c>
      <c r="H48" s="2">
        <v>91</v>
      </c>
      <c r="I48" s="2">
        <v>12</v>
      </c>
      <c r="J48" s="3" t="s">
        <v>76</v>
      </c>
      <c r="K48" s="3" t="s">
        <v>145</v>
      </c>
      <c r="L48" s="3">
        <v>11</v>
      </c>
      <c r="M48" t="s">
        <v>394</v>
      </c>
      <c r="N48" t="str">
        <f t="shared" si="0"/>
        <v>'B0000000000000007529',</v>
      </c>
      <c r="O48" t="str">
        <f t="shared" si="1"/>
        <v>'0045700510',</v>
      </c>
      <c r="P48" t="str">
        <f t="shared" si="2"/>
        <v>'E-BOOK BIOLOGI SMA/MA KLS.11/KM/1TH',</v>
      </c>
      <c r="Q48" t="str">
        <f t="shared" si="3"/>
        <v>'E-BOOK_BIOLOGI_SMA_MA_KLS_11_KM_1TH.jpg',</v>
      </c>
      <c r="R48" t="str">
        <f t="shared" si="4"/>
        <v>'app://ebook-erlangga/v1/0045700510',</v>
      </c>
      <c r="S48" t="str">
        <f t="shared" si="5"/>
        <v>'IRNANINGTYAS-SYLVA SAGITA',</v>
      </c>
      <c r="T48" t="str">
        <f t="shared" si="6"/>
        <v>1,</v>
      </c>
      <c r="U48" t="str">
        <f t="shared" si="7"/>
        <v>91,</v>
      </c>
      <c r="V48" t="str">
        <f t="shared" si="8"/>
        <v>12,</v>
      </c>
      <c r="W48" t="str">
        <f t="shared" si="9"/>
        <v>11);</v>
      </c>
    </row>
    <row r="49" spans="1:23" x14ac:dyDescent="0.25">
      <c r="A49" t="s">
        <v>384</v>
      </c>
      <c r="B49" s="15" t="s">
        <v>193</v>
      </c>
      <c r="C49" s="5" t="s">
        <v>194</v>
      </c>
      <c r="D49" s="2" t="s">
        <v>264</v>
      </c>
      <c r="E49" s="2" t="s">
        <v>324</v>
      </c>
      <c r="F49" s="5" t="s">
        <v>168</v>
      </c>
      <c r="G49" s="2">
        <v>1</v>
      </c>
      <c r="H49" s="2">
        <v>91</v>
      </c>
      <c r="I49" s="2">
        <v>12</v>
      </c>
      <c r="J49" s="6" t="s">
        <v>76</v>
      </c>
      <c r="K49" s="6" t="s">
        <v>145</v>
      </c>
      <c r="L49" s="6" t="s">
        <v>195</v>
      </c>
      <c r="M49" t="s">
        <v>394</v>
      </c>
      <c r="N49" t="str">
        <f t="shared" si="0"/>
        <v>'B0000000000000007530',</v>
      </c>
      <c r="O49" t="str">
        <f t="shared" si="1"/>
        <v>'0045700560',</v>
      </c>
      <c r="P49" t="str">
        <f t="shared" si="2"/>
        <v>'E-BOOK BIOLOGI SMA/MA KLS.12/KM/1TH',</v>
      </c>
      <c r="Q49" t="str">
        <f t="shared" si="3"/>
        <v>'E-BOOK_BIOLOGI_SMA_MA_KLS_12_KM_1TH.jpg',</v>
      </c>
      <c r="R49" t="str">
        <f t="shared" si="4"/>
        <v>'app://ebook-erlangga/v1/0045700560',</v>
      </c>
      <c r="S49" t="str">
        <f t="shared" si="5"/>
        <v>'IRNANINGTYAS-SYLVA SAGITA',</v>
      </c>
      <c r="T49" t="str">
        <f t="shared" si="6"/>
        <v>1,</v>
      </c>
      <c r="U49" t="str">
        <f t="shared" si="7"/>
        <v>91,</v>
      </c>
      <c r="V49" t="str">
        <f t="shared" si="8"/>
        <v>12,</v>
      </c>
      <c r="W49" t="str">
        <f t="shared" si="9"/>
        <v>12);</v>
      </c>
    </row>
    <row r="50" spans="1:23" x14ac:dyDescent="0.25">
      <c r="A50" t="s">
        <v>385</v>
      </c>
      <c r="B50" s="16" t="s">
        <v>196</v>
      </c>
      <c r="C50" s="17" t="s">
        <v>197</v>
      </c>
      <c r="D50" s="2" t="s">
        <v>265</v>
      </c>
      <c r="E50" s="2" t="s">
        <v>325</v>
      </c>
      <c r="F50" s="18" t="s">
        <v>198</v>
      </c>
      <c r="G50" s="2">
        <v>1</v>
      </c>
      <c r="H50" s="2">
        <v>91</v>
      </c>
      <c r="I50" s="2">
        <v>12</v>
      </c>
      <c r="J50" s="6" t="s">
        <v>76</v>
      </c>
      <c r="K50" s="6" t="s">
        <v>145</v>
      </c>
      <c r="L50" s="6" t="s">
        <v>195</v>
      </c>
      <c r="M50" t="s">
        <v>394</v>
      </c>
      <c r="N50" t="str">
        <f t="shared" si="0"/>
        <v>'B0000000000000007531',</v>
      </c>
      <c r="O50" t="str">
        <f t="shared" si="1"/>
        <v>'0045101440',</v>
      </c>
      <c r="P50" t="str">
        <f t="shared" si="2"/>
        <v>'E-BOOK MATEMATIKA SMA/MA TINGKAT LANJUT KLS.12/KM/1TH',</v>
      </c>
      <c r="Q50" t="str">
        <f t="shared" si="3"/>
        <v>'E-BOOK_MATEMATIKA_SMA_MA_TINGKAT_LANJUT_KLS_12_KM_1TH.jpg',</v>
      </c>
      <c r="R50" t="str">
        <f t="shared" si="4"/>
        <v>'app://ebook-erlangga/v1/0045101440',</v>
      </c>
      <c r="S50" t="str">
        <f t="shared" si="5"/>
        <v>'IMAN SANTOSO-B.K. NOORMANDIRI',</v>
      </c>
      <c r="T50" t="str">
        <f t="shared" si="6"/>
        <v>1,</v>
      </c>
      <c r="U50" t="str">
        <f t="shared" si="7"/>
        <v>91,</v>
      </c>
      <c r="V50" t="str">
        <f t="shared" si="8"/>
        <v>12,</v>
      </c>
      <c r="W50" t="str">
        <f t="shared" si="9"/>
        <v>12);</v>
      </c>
    </row>
    <row r="51" spans="1:23" x14ac:dyDescent="0.25">
      <c r="A51" t="s">
        <v>386</v>
      </c>
      <c r="B51" s="16" t="s">
        <v>199</v>
      </c>
      <c r="C51" s="17" t="s">
        <v>200</v>
      </c>
      <c r="D51" s="2" t="s">
        <v>266</v>
      </c>
      <c r="E51" s="2" t="s">
        <v>326</v>
      </c>
      <c r="F51" s="18" t="s">
        <v>165</v>
      </c>
      <c r="G51" s="2">
        <v>1</v>
      </c>
      <c r="H51" s="2">
        <v>91</v>
      </c>
      <c r="I51" s="2">
        <v>12</v>
      </c>
      <c r="J51" s="6" t="s">
        <v>76</v>
      </c>
      <c r="K51" s="6" t="s">
        <v>145</v>
      </c>
      <c r="L51" s="6" t="s">
        <v>195</v>
      </c>
      <c r="M51" t="s">
        <v>394</v>
      </c>
      <c r="N51" t="str">
        <f t="shared" si="0"/>
        <v>'B0000000000000007532',</v>
      </c>
      <c r="O51" t="str">
        <f t="shared" si="1"/>
        <v>'0045400840',</v>
      </c>
      <c r="P51" t="str">
        <f t="shared" si="2"/>
        <v>'E-BOOK KIMIA SMA/MA KLS.12/KM/1TH',</v>
      </c>
      <c r="Q51" t="str">
        <f t="shared" si="3"/>
        <v>'E-BOOK_KIMIA_SMA_MA_KLS_12_KM_1TH.jpg',</v>
      </c>
      <c r="R51" t="str">
        <f t="shared" si="4"/>
        <v>'app://ebook-erlangga/v1/0045400840',</v>
      </c>
      <c r="S51" t="str">
        <f t="shared" si="5"/>
        <v>'UNGGUL SUDARMO',</v>
      </c>
      <c r="T51" t="str">
        <f t="shared" si="6"/>
        <v>1,</v>
      </c>
      <c r="U51" t="str">
        <f t="shared" si="7"/>
        <v>91,</v>
      </c>
      <c r="V51" t="str">
        <f t="shared" si="8"/>
        <v>12,</v>
      </c>
      <c r="W51" t="str">
        <f t="shared" si="9"/>
        <v>12);</v>
      </c>
    </row>
    <row r="52" spans="1:23" x14ac:dyDescent="0.25">
      <c r="A52" t="s">
        <v>387</v>
      </c>
      <c r="B52" s="16" t="s">
        <v>201</v>
      </c>
      <c r="C52" s="19" t="s">
        <v>202</v>
      </c>
      <c r="D52" s="2" t="s">
        <v>267</v>
      </c>
      <c r="E52" s="2" t="s">
        <v>327</v>
      </c>
      <c r="F52" s="18" t="s">
        <v>162</v>
      </c>
      <c r="G52" s="2">
        <v>1</v>
      </c>
      <c r="H52" s="2">
        <v>91</v>
      </c>
      <c r="I52" s="2">
        <v>12</v>
      </c>
      <c r="J52" s="6" t="s">
        <v>76</v>
      </c>
      <c r="K52" s="6" t="s">
        <v>145</v>
      </c>
      <c r="L52" s="6" t="s">
        <v>195</v>
      </c>
      <c r="M52" t="s">
        <v>394</v>
      </c>
      <c r="N52" t="str">
        <f t="shared" si="0"/>
        <v>'B0000000000000007533',</v>
      </c>
      <c r="O52" t="str">
        <f t="shared" si="1"/>
        <v>'0045301020',</v>
      </c>
      <c r="P52" t="str">
        <f t="shared" si="2"/>
        <v>'E-BOOK FISIKA SMA/MA KLS.12/KM/1TH',</v>
      </c>
      <c r="Q52" t="str">
        <f t="shared" si="3"/>
        <v>'E-BOOK_FISIKA_SMA_MA_KLS_12_KM_1TH.jpg',</v>
      </c>
      <c r="R52" t="str">
        <f t="shared" si="4"/>
        <v>'app://ebook-erlangga/v1/0045301020',</v>
      </c>
      <c r="S52" t="str">
        <f t="shared" si="5"/>
        <v>'NI KETUT LASMI',</v>
      </c>
      <c r="T52" t="str">
        <f t="shared" si="6"/>
        <v>1,</v>
      </c>
      <c r="U52" t="str">
        <f t="shared" si="7"/>
        <v>91,</v>
      </c>
      <c r="V52" t="str">
        <f t="shared" si="8"/>
        <v>12,</v>
      </c>
      <c r="W52" t="str">
        <f t="shared" si="9"/>
        <v>12);</v>
      </c>
    </row>
    <row r="53" spans="1:23" x14ac:dyDescent="0.25">
      <c r="A53" t="s">
        <v>388</v>
      </c>
      <c r="B53" s="16" t="s">
        <v>203</v>
      </c>
      <c r="C53" s="17" t="s">
        <v>204</v>
      </c>
      <c r="D53" s="2" t="s">
        <v>268</v>
      </c>
      <c r="E53" s="2" t="s">
        <v>328</v>
      </c>
      <c r="F53" s="18" t="s">
        <v>151</v>
      </c>
      <c r="G53" s="2">
        <v>1</v>
      </c>
      <c r="H53" s="2">
        <v>91</v>
      </c>
      <c r="I53" s="2">
        <v>12</v>
      </c>
      <c r="J53" s="6" t="s">
        <v>76</v>
      </c>
      <c r="K53" s="6" t="s">
        <v>145</v>
      </c>
      <c r="L53" s="6" t="s">
        <v>195</v>
      </c>
      <c r="M53" t="s">
        <v>394</v>
      </c>
      <c r="N53" t="str">
        <f t="shared" si="0"/>
        <v>'B0000000000000007534',</v>
      </c>
      <c r="O53" t="str">
        <f t="shared" si="1"/>
        <v>'0043300400',</v>
      </c>
      <c r="P53" t="str">
        <f t="shared" si="2"/>
        <v>'E-BOOK EKONOMI SMA/MA KLS.12/KM/1TH',</v>
      </c>
      <c r="Q53" t="str">
        <f t="shared" si="3"/>
        <v>'E-BOOK_EKONOMI_SMA_MA_KLS_12_KM_1TH.jpg',</v>
      </c>
      <c r="R53" t="str">
        <f t="shared" si="4"/>
        <v>'app://ebook-erlangga/v1/0043300400',</v>
      </c>
      <c r="S53" t="str">
        <f t="shared" si="5"/>
        <v>'ALAM S.-ARISTANTI W.',</v>
      </c>
      <c r="T53" t="str">
        <f t="shared" si="6"/>
        <v>1,</v>
      </c>
      <c r="U53" t="str">
        <f t="shared" si="7"/>
        <v>91,</v>
      </c>
      <c r="V53" t="str">
        <f t="shared" si="8"/>
        <v>12,</v>
      </c>
      <c r="W53" t="str">
        <f t="shared" si="9"/>
        <v>12);</v>
      </c>
    </row>
    <row r="54" spans="1:23" x14ac:dyDescent="0.25">
      <c r="A54" t="s">
        <v>389</v>
      </c>
      <c r="B54" s="16" t="s">
        <v>205</v>
      </c>
      <c r="C54" s="17" t="s">
        <v>206</v>
      </c>
      <c r="D54" s="2" t="s">
        <v>269</v>
      </c>
      <c r="E54" s="2" t="s">
        <v>329</v>
      </c>
      <c r="F54" s="18" t="s">
        <v>171</v>
      </c>
      <c r="G54" s="2">
        <v>1</v>
      </c>
      <c r="H54" s="2">
        <v>91</v>
      </c>
      <c r="I54" s="2">
        <v>12</v>
      </c>
      <c r="J54" s="6" t="s">
        <v>76</v>
      </c>
      <c r="K54" s="6" t="s">
        <v>145</v>
      </c>
      <c r="L54" s="6" t="s">
        <v>195</v>
      </c>
      <c r="M54" t="s">
        <v>394</v>
      </c>
      <c r="N54" t="str">
        <f t="shared" si="0"/>
        <v>'B0000000000000007535',</v>
      </c>
      <c r="O54" t="str">
        <f t="shared" si="1"/>
        <v>' 0049000430',</v>
      </c>
      <c r="P54" t="str">
        <f t="shared" si="2"/>
        <v>'E-BOOK GEOGRAFI SMA/MA KLS.12/KM/1TH',</v>
      </c>
      <c r="Q54" t="str">
        <f t="shared" si="3"/>
        <v>'E-BOOK_GEOGRAFI_SMA_MA_KLS_12_KM_1TH.jpg',</v>
      </c>
      <c r="R54" t="str">
        <f t="shared" si="4"/>
        <v>'app://ebook-erlangga/v1/ 0049000430',</v>
      </c>
      <c r="S54" t="str">
        <f t="shared" si="5"/>
        <v>'YASINTO SINDHU PRIASTOMO',</v>
      </c>
      <c r="T54" t="str">
        <f t="shared" si="6"/>
        <v>1,</v>
      </c>
      <c r="U54" t="str">
        <f t="shared" si="7"/>
        <v>91,</v>
      </c>
      <c r="V54" t="str">
        <f t="shared" si="8"/>
        <v>12,</v>
      </c>
      <c r="W54" t="str">
        <f t="shared" si="9"/>
        <v>12);</v>
      </c>
    </row>
    <row r="55" spans="1:23" x14ac:dyDescent="0.25">
      <c r="A55" t="s">
        <v>390</v>
      </c>
      <c r="B55" s="16" t="s">
        <v>207</v>
      </c>
      <c r="C55" s="17" t="s">
        <v>208</v>
      </c>
      <c r="D55" s="2" t="s">
        <v>270</v>
      </c>
      <c r="E55" s="2" t="s">
        <v>330</v>
      </c>
      <c r="F55" s="18" t="s">
        <v>182</v>
      </c>
      <c r="G55" s="2">
        <v>1</v>
      </c>
      <c r="H55" s="2">
        <v>91</v>
      </c>
      <c r="I55" s="2">
        <v>12</v>
      </c>
      <c r="J55" s="6" t="s">
        <v>76</v>
      </c>
      <c r="K55" s="6" t="s">
        <v>145</v>
      </c>
      <c r="L55" s="6" t="s">
        <v>195</v>
      </c>
      <c r="M55" t="s">
        <v>394</v>
      </c>
      <c r="N55" t="str">
        <f t="shared" si="0"/>
        <v>'B0000000000000007536',</v>
      </c>
      <c r="O55" t="str">
        <f t="shared" si="1"/>
        <v>'0049070280',</v>
      </c>
      <c r="P55" t="str">
        <f t="shared" si="2"/>
        <v>'E-BOOK SEJARAH SMA/MA KLS.12/KM/1TH',</v>
      </c>
      <c r="Q55" t="str">
        <f t="shared" si="3"/>
        <v>'E-BOOK_SEJARAH_SMA_MA_KLS_12_KM_1TH.jpg',</v>
      </c>
      <c r="R55" t="str">
        <f t="shared" si="4"/>
        <v>'app://ebook-erlangga/v1/0049070280',</v>
      </c>
      <c r="S55" t="str">
        <f t="shared" si="5"/>
        <v>'RATNA HAPSARI-M. ADIL',</v>
      </c>
      <c r="T55" t="str">
        <f t="shared" si="6"/>
        <v>1,</v>
      </c>
      <c r="U55" t="str">
        <f t="shared" si="7"/>
        <v>91,</v>
      </c>
      <c r="V55" t="str">
        <f t="shared" si="8"/>
        <v>12,</v>
      </c>
      <c r="W55" t="str">
        <f t="shared" si="9"/>
        <v>12);</v>
      </c>
    </row>
    <row r="56" spans="1:23" x14ac:dyDescent="0.25">
      <c r="A56" t="s">
        <v>391</v>
      </c>
      <c r="B56" s="16" t="s">
        <v>209</v>
      </c>
      <c r="C56" s="17" t="s">
        <v>210</v>
      </c>
      <c r="D56" s="2" t="s">
        <v>271</v>
      </c>
      <c r="E56" s="2" t="s">
        <v>331</v>
      </c>
      <c r="F56" s="18" t="s">
        <v>95</v>
      </c>
      <c r="G56" s="2">
        <v>1</v>
      </c>
      <c r="H56" s="2">
        <v>91</v>
      </c>
      <c r="I56" s="2">
        <v>12</v>
      </c>
      <c r="J56" s="6" t="s">
        <v>76</v>
      </c>
      <c r="K56" s="6" t="s">
        <v>145</v>
      </c>
      <c r="L56" s="6" t="s">
        <v>195</v>
      </c>
      <c r="M56" t="s">
        <v>394</v>
      </c>
      <c r="N56" t="str">
        <f t="shared" si="0"/>
        <v>'B0000000000000007537',</v>
      </c>
      <c r="O56" t="str">
        <f t="shared" si="1"/>
        <v>'0040040280',</v>
      </c>
      <c r="P56" t="str">
        <f t="shared" si="2"/>
        <v>'E-BOOK INFORMATIKA SMA/MA KLS.12/KM/1TH',</v>
      </c>
      <c r="Q56" t="str">
        <f t="shared" si="3"/>
        <v>'E-BOOK_INFORMATIKA_SMA_MA_KLS_12_KM_1TH.jpg',</v>
      </c>
      <c r="R56" t="str">
        <f t="shared" si="4"/>
        <v>'app://ebook-erlangga/v1/0040040280',</v>
      </c>
      <c r="S56" t="str">
        <f t="shared" si="5"/>
        <v>'HENRY PANDIA',</v>
      </c>
      <c r="T56" t="str">
        <f t="shared" si="6"/>
        <v>1,</v>
      </c>
      <c r="U56" t="str">
        <f t="shared" si="7"/>
        <v>91,</v>
      </c>
      <c r="V56" t="str">
        <f t="shared" si="8"/>
        <v>12,</v>
      </c>
      <c r="W56" t="str">
        <f t="shared" si="9"/>
        <v>12);</v>
      </c>
    </row>
    <row r="57" spans="1:23" x14ac:dyDescent="0.25">
      <c r="A57" t="s">
        <v>392</v>
      </c>
      <c r="B57" s="16" t="s">
        <v>211</v>
      </c>
      <c r="C57" s="17" t="s">
        <v>212</v>
      </c>
      <c r="D57" s="2" t="s">
        <v>272</v>
      </c>
      <c r="E57" s="2" t="s">
        <v>332</v>
      </c>
      <c r="F57" s="18" t="s">
        <v>148</v>
      </c>
      <c r="G57" s="2">
        <v>1</v>
      </c>
      <c r="H57" s="2">
        <v>91</v>
      </c>
      <c r="I57" s="2">
        <v>12</v>
      </c>
      <c r="J57" s="6" t="s">
        <v>76</v>
      </c>
      <c r="K57" s="6" t="s">
        <v>145</v>
      </c>
      <c r="L57" s="6" t="s">
        <v>195</v>
      </c>
      <c r="M57" t="s">
        <v>394</v>
      </c>
      <c r="N57" t="str">
        <f t="shared" si="0"/>
        <v>'B0000000000000007538',</v>
      </c>
      <c r="O57" t="str">
        <f t="shared" si="1"/>
        <v>'0043230200',</v>
      </c>
      <c r="P57" t="str">
        <f t="shared" si="2"/>
        <v>'E-BOOK PENDIDIKAN PANCASILA SMA/MA KLS.12/KM/1TH',</v>
      </c>
      <c r="Q57" t="str">
        <f t="shared" si="3"/>
        <v>'E-BOOK_PENDIDIKAN_PANCASILA_SMA_MA_KLS_12_KM_1TH.jpg',</v>
      </c>
      <c r="R57" t="str">
        <f t="shared" si="4"/>
        <v>'app://ebook-erlangga/v1/0043230200',</v>
      </c>
      <c r="S57" t="str">
        <f t="shared" si="5"/>
        <v>'YUYUS KARDIMAN, DKK',</v>
      </c>
      <c r="T57" t="str">
        <f t="shared" si="6"/>
        <v>1,</v>
      </c>
      <c r="U57" t="str">
        <f t="shared" si="7"/>
        <v>91,</v>
      </c>
      <c r="V57" t="str">
        <f t="shared" si="8"/>
        <v>12,</v>
      </c>
      <c r="W57" t="str">
        <f t="shared" si="9"/>
        <v>12);</v>
      </c>
    </row>
    <row r="58" spans="1:23" x14ac:dyDescent="0.25">
      <c r="A58" t="s">
        <v>393</v>
      </c>
      <c r="B58" s="16" t="s">
        <v>213</v>
      </c>
      <c r="C58" s="17" t="s">
        <v>214</v>
      </c>
      <c r="D58" s="2" t="s">
        <v>273</v>
      </c>
      <c r="E58" s="2" t="s">
        <v>333</v>
      </c>
      <c r="F58" s="18" t="s">
        <v>86</v>
      </c>
      <c r="G58" s="2">
        <v>1</v>
      </c>
      <c r="H58" s="2">
        <v>91</v>
      </c>
      <c r="I58" s="2">
        <v>12</v>
      </c>
      <c r="J58" s="6" t="s">
        <v>76</v>
      </c>
      <c r="K58" s="6" t="s">
        <v>145</v>
      </c>
      <c r="L58" s="6" t="s">
        <v>195</v>
      </c>
      <c r="M58" t="s">
        <v>394</v>
      </c>
      <c r="N58" t="str">
        <f t="shared" si="0"/>
        <v>'B0000000000000007539',</v>
      </c>
      <c r="O58" t="str">
        <f t="shared" si="1"/>
        <v>'0044900300 ',</v>
      </c>
      <c r="P58" t="str">
        <f t="shared" si="2"/>
        <v>'E-BOOK KOMPETEN BERBHS INDONESIA SMA/MA KLS.12/KM/1TH',</v>
      </c>
      <c r="Q58" t="str">
        <f t="shared" si="3"/>
        <v>'E-BOOK_KOMPETEN_BERBHS_INDONESIA_SMA_MA_KLS_12_KM_1TH.jpg',</v>
      </c>
      <c r="R58" t="str">
        <f t="shared" si="4"/>
        <v>'app://ebook-erlangga/v1/0044900300 ',</v>
      </c>
      <c r="S58" t="str">
        <f t="shared" si="5"/>
        <v>'TIM EDUKATIF',</v>
      </c>
      <c r="T58" t="str">
        <f t="shared" si="6"/>
        <v>1,</v>
      </c>
      <c r="U58" t="str">
        <f t="shared" si="7"/>
        <v>91,</v>
      </c>
      <c r="V58" t="str">
        <f t="shared" si="8"/>
        <v>12,</v>
      </c>
      <c r="W58" t="str">
        <f t="shared" si="9"/>
        <v>12);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2024-08-26T09:53:17Z</dcterms:created>
  <dcterms:modified xsi:type="dcterms:W3CDTF">2024-08-27T04:10:58Z</dcterms:modified>
</cp:coreProperties>
</file>